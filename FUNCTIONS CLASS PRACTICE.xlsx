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USER PC\Downloads\"/>
    </mc:Choice>
  </mc:AlternateContent>
  <xr:revisionPtr revIDLastSave="0" documentId="13_ncr:1_{EAAAC438-F5AC-4988-8EB4-3CD5C68437E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5" i="2" l="1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8" i="2"/>
  <c r="J9" i="2"/>
  <c r="J10" i="2"/>
  <c r="J11" i="2"/>
  <c r="J12" i="2"/>
  <c r="J13" i="2"/>
  <c r="J14" i="2"/>
  <c r="J3" i="2"/>
  <c r="J4" i="2"/>
  <c r="J5" i="2"/>
  <c r="J6" i="2"/>
  <c r="J7" i="2"/>
  <c r="K2" i="2"/>
  <c r="J2" i="2"/>
  <c r="G2" i="3"/>
  <c r="K4" i="3"/>
  <c r="L2" i="3"/>
  <c r="K2" i="3"/>
  <c r="J2" i="3"/>
  <c r="I4" i="3"/>
  <c r="H4" i="3"/>
  <c r="I2" i="3"/>
  <c r="H2" i="3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M3" i="3"/>
  <c r="M2" i="3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/>
  <c r="I64" i="2" a="1"/>
  <c r="I64" i="2"/>
  <c r="I65" i="2" a="1"/>
  <c r="I65" i="2"/>
  <c r="I66" i="2" a="1"/>
  <c r="I66" i="2"/>
  <c r="I67" i="2" a="1"/>
  <c r="I67" i="2"/>
  <c r="I68" i="2" a="1"/>
  <c r="I68" i="2"/>
  <c r="I69" i="2" a="1"/>
  <c r="I69" i="2"/>
  <c r="I70" i="2" a="1"/>
  <c r="I70" i="2"/>
  <c r="I71" i="2" a="1"/>
  <c r="I71" i="2"/>
  <c r="I72" i="2" a="1"/>
  <c r="I72" i="2"/>
  <c r="I73" i="2" a="1"/>
  <c r="I73" i="2"/>
  <c r="I74" i="2" a="1"/>
  <c r="I74" i="2"/>
  <c r="I75" i="2" a="1"/>
  <c r="I75" i="2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/>
  <c r="I82" i="2" a="1"/>
  <c r="I82" i="2"/>
  <c r="I83" i="2" a="1"/>
  <c r="I83" i="2"/>
  <c r="I84" i="2" a="1"/>
  <c r="I84" i="2"/>
  <c r="I85" i="2" a="1"/>
  <c r="I85" i="2"/>
  <c r="I86" i="2" a="1"/>
  <c r="I86" i="2"/>
  <c r="I87" i="2" a="1"/>
  <c r="I87" i="2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/>
  <c r="I94" i="2" a="1"/>
  <c r="I94" i="2"/>
  <c r="I95" i="2" a="1"/>
  <c r="I95" i="2"/>
  <c r="I96" i="2" a="1"/>
  <c r="I96" i="2"/>
  <c r="I97" i="2" a="1"/>
  <c r="I97" i="2"/>
  <c r="I98" i="2" a="1"/>
  <c r="I98" i="2"/>
  <c r="I99" i="2" a="1"/>
  <c r="I99" i="2"/>
  <c r="I100" i="2" a="1"/>
  <c r="I100" i="2"/>
  <c r="I101" i="2" a="1"/>
  <c r="I101" i="2"/>
  <c r="I2" i="2" a="1"/>
  <c r="I2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<sst xmlns="http://schemas.openxmlformats.org/spreadsheetml/2006/main" count="1567" uniqueCount="588">
  <si>
    <t>PID</t>
  </si>
  <si>
    <t>Brand</t>
  </si>
  <si>
    <t>Type</t>
  </si>
  <si>
    <t>Operating System</t>
  </si>
  <si>
    <t>Unit Price</t>
  </si>
  <si>
    <t>P001</t>
  </si>
  <si>
    <t>Nokia</t>
  </si>
  <si>
    <t>Touch</t>
  </si>
  <si>
    <t>WindowsPhone</t>
  </si>
  <si>
    <t>P002</t>
  </si>
  <si>
    <t>Samsung</t>
  </si>
  <si>
    <t>Android</t>
  </si>
  <si>
    <t>P003</t>
  </si>
  <si>
    <t>Htc</t>
  </si>
  <si>
    <t>P004</t>
  </si>
  <si>
    <t>Sony</t>
  </si>
  <si>
    <t>P005</t>
  </si>
  <si>
    <t>Oppo</t>
  </si>
  <si>
    <t>P006</t>
  </si>
  <si>
    <t>Micromax</t>
  </si>
  <si>
    <t>Non-Touch</t>
  </si>
  <si>
    <t>Java OS</t>
  </si>
  <si>
    <t>P007</t>
  </si>
  <si>
    <t>BLU</t>
  </si>
  <si>
    <t>P008</t>
  </si>
  <si>
    <t>LG</t>
  </si>
  <si>
    <t>P009</t>
  </si>
  <si>
    <t>Apple</t>
  </si>
  <si>
    <t>iOS</t>
  </si>
  <si>
    <t>P010</t>
  </si>
  <si>
    <t>BlackBerry</t>
  </si>
  <si>
    <t>BlackBerry OS</t>
  </si>
  <si>
    <t>P011</t>
  </si>
  <si>
    <t>Motorola</t>
  </si>
  <si>
    <t>P012</t>
  </si>
  <si>
    <t>Firefly</t>
  </si>
  <si>
    <t>P013</t>
  </si>
  <si>
    <t>Alcatel</t>
  </si>
  <si>
    <t>P014</t>
  </si>
  <si>
    <t>Huawei</t>
  </si>
  <si>
    <t>P015</t>
  </si>
  <si>
    <t>Amazon</t>
  </si>
  <si>
    <t>S/N</t>
  </si>
  <si>
    <t>Student Name</t>
  </si>
  <si>
    <t>Student Gender</t>
  </si>
  <si>
    <t>Subject</t>
  </si>
  <si>
    <t>Test 1</t>
  </si>
  <si>
    <t>Test 2</t>
  </si>
  <si>
    <t>Exam</t>
  </si>
  <si>
    <t>Total</t>
  </si>
  <si>
    <t>Grade</t>
  </si>
  <si>
    <t>Hester</t>
  </si>
  <si>
    <t>Female</t>
  </si>
  <si>
    <t>Science</t>
  </si>
  <si>
    <t>Huntington</t>
  </si>
  <si>
    <t>Male</t>
  </si>
  <si>
    <t>Antoni</t>
  </si>
  <si>
    <t>Helena</t>
  </si>
  <si>
    <t>Fred</t>
  </si>
  <si>
    <t>Roger</t>
  </si>
  <si>
    <t>Palm</t>
  </si>
  <si>
    <t>Olin</t>
  </si>
  <si>
    <t>Shawnee</t>
  </si>
  <si>
    <t>Eleni</t>
  </si>
  <si>
    <t>Kane</t>
  </si>
  <si>
    <t>Mohandas</t>
  </si>
  <si>
    <t>Barbabra</t>
  </si>
  <si>
    <t>Belicia</t>
  </si>
  <si>
    <t>Keefe</t>
  </si>
  <si>
    <t>Art</t>
  </si>
  <si>
    <t>Valina</t>
  </si>
  <si>
    <t>Patrica</t>
  </si>
  <si>
    <t>Shir</t>
  </si>
  <si>
    <t>Tootsie</t>
  </si>
  <si>
    <t>Lane</t>
  </si>
  <si>
    <t>Chauncey</t>
  </si>
  <si>
    <t>Sebastien</t>
  </si>
  <si>
    <t>Torin</t>
  </si>
  <si>
    <t>Willette</t>
  </si>
  <si>
    <t>Marcellina</t>
  </si>
  <si>
    <t>Livvyy</t>
  </si>
  <si>
    <t>Toiboid</t>
  </si>
  <si>
    <t>Dieter</t>
  </si>
  <si>
    <t>Laina</t>
  </si>
  <si>
    <t>Ingmar</t>
  </si>
  <si>
    <t>Joleen</t>
  </si>
  <si>
    <t>Carrie</t>
  </si>
  <si>
    <t>Ame</t>
  </si>
  <si>
    <t>Ramonda</t>
  </si>
  <si>
    <t>Farica</t>
  </si>
  <si>
    <t>Cyril</t>
  </si>
  <si>
    <t>Bessy</t>
  </si>
  <si>
    <t>Nerti</t>
  </si>
  <si>
    <t>Russ</t>
  </si>
  <si>
    <t>Donica</t>
  </si>
  <si>
    <t>Commercial</t>
  </si>
  <si>
    <t>Nero</t>
  </si>
  <si>
    <t>Rory</t>
  </si>
  <si>
    <t>Keri</t>
  </si>
  <si>
    <t>Joyous</t>
  </si>
  <si>
    <t>Ramsey</t>
  </si>
  <si>
    <t>Ced</t>
  </si>
  <si>
    <t>Evan</t>
  </si>
  <si>
    <t>Ernesto</t>
  </si>
  <si>
    <t>Malissa</t>
  </si>
  <si>
    <t>Anna-diana</t>
  </si>
  <si>
    <t>Owen</t>
  </si>
  <si>
    <t>Jacinthe</t>
  </si>
  <si>
    <t>Margie</t>
  </si>
  <si>
    <t>Ervin</t>
  </si>
  <si>
    <t>Drusi</t>
  </si>
  <si>
    <t>Naomi</t>
  </si>
  <si>
    <t>Kyla</t>
  </si>
  <si>
    <t>Hugh</t>
  </si>
  <si>
    <t>Gaultiero</t>
  </si>
  <si>
    <t>Kenton</t>
  </si>
  <si>
    <t>Lovell</t>
  </si>
  <si>
    <t>Carola</t>
  </si>
  <si>
    <t>Raff</t>
  </si>
  <si>
    <t>Sigismondo</t>
  </si>
  <si>
    <t>Jedediah</t>
  </si>
  <si>
    <t>Ashil</t>
  </si>
  <si>
    <t>Pace</t>
  </si>
  <si>
    <t>Kristos</t>
  </si>
  <si>
    <t>Dennis</t>
  </si>
  <si>
    <t>Newton</t>
  </si>
  <si>
    <t>Christoffer</t>
  </si>
  <si>
    <t>Rosalind</t>
  </si>
  <si>
    <t>Fabe</t>
  </si>
  <si>
    <t>Lay</t>
  </si>
  <si>
    <t>Gerardo</t>
  </si>
  <si>
    <t>Janot</t>
  </si>
  <si>
    <t>Others</t>
  </si>
  <si>
    <t>Elijah</t>
  </si>
  <si>
    <t>Odelinda</t>
  </si>
  <si>
    <t>Leonore</t>
  </si>
  <si>
    <t>Georgena</t>
  </si>
  <si>
    <t>Berkley</t>
  </si>
  <si>
    <t>Amity</t>
  </si>
  <si>
    <t>Ron</t>
  </si>
  <si>
    <t>Chrisy</t>
  </si>
  <si>
    <t>Hertha</t>
  </si>
  <si>
    <t>Thaddeus</t>
  </si>
  <si>
    <t>Adella</t>
  </si>
  <si>
    <t>Dewitt</t>
  </si>
  <si>
    <t>Arlinda</t>
  </si>
  <si>
    <t>Imogen</t>
  </si>
  <si>
    <t>Locke</t>
  </si>
  <si>
    <t>Stephie</t>
  </si>
  <si>
    <t>Tedman</t>
  </si>
  <si>
    <t>Kaila</t>
  </si>
  <si>
    <t>Fredric</t>
  </si>
  <si>
    <t>Lemar</t>
  </si>
  <si>
    <t>Alane</t>
  </si>
  <si>
    <t>Benoit</t>
  </si>
  <si>
    <t>Moore</t>
  </si>
  <si>
    <t>Employee Name</t>
  </si>
  <si>
    <t>Status</t>
  </si>
  <si>
    <t>Department</t>
  </si>
  <si>
    <t>Hire Date</t>
  </si>
  <si>
    <t>Comp.</t>
  </si>
  <si>
    <t>Job Rating</t>
  </si>
  <si>
    <t>Vasquez, Michael</t>
  </si>
  <si>
    <t>Full Time</t>
  </si>
  <si>
    <t>ADC</t>
  </si>
  <si>
    <t>Woodard, Charles</t>
  </si>
  <si>
    <t>Contract</t>
  </si>
  <si>
    <t>Ayers, Douglas</t>
  </si>
  <si>
    <t>Admin Training</t>
  </si>
  <si>
    <t>Cameron, John</t>
  </si>
  <si>
    <t>Holt, Robert</t>
  </si>
  <si>
    <t>Hunter, Lisa</t>
  </si>
  <si>
    <t>Love, Danny</t>
  </si>
  <si>
    <t>Massey, Mark</t>
  </si>
  <si>
    <t>Nelson, Shira</t>
  </si>
  <si>
    <t>Nunez, Benning</t>
  </si>
  <si>
    <t>Shaffer, Nobuko</t>
  </si>
  <si>
    <t>Sloan, Cindy</t>
  </si>
  <si>
    <t>Bradshaw, Sheryl</t>
  </si>
  <si>
    <t>Audit Services</t>
  </si>
  <si>
    <t>Decker, Amy</t>
  </si>
  <si>
    <t>Lester, Sherri</t>
  </si>
  <si>
    <t>Oliver, Francisco</t>
  </si>
  <si>
    <t>Pace, Joseph</t>
  </si>
  <si>
    <t>Stevenson, Michael</t>
  </si>
  <si>
    <t>Watkins, Gary</t>
  </si>
  <si>
    <t>Woodward, Tim</t>
  </si>
  <si>
    <t>Tyler, Javier</t>
  </si>
  <si>
    <t>Compliance</t>
  </si>
  <si>
    <t>Bailey, Victor</t>
  </si>
  <si>
    <t>Engineering/Maintenance</t>
  </si>
  <si>
    <t>Bush, Rena</t>
  </si>
  <si>
    <t>Calhoun, Dac Vinh</t>
  </si>
  <si>
    <t>Collier, Dean</t>
  </si>
  <si>
    <t>Curtis, Patrick</t>
  </si>
  <si>
    <t>Davenport, Troy</t>
  </si>
  <si>
    <t>Delgado, Dale</t>
  </si>
  <si>
    <t>Dudley, James</t>
  </si>
  <si>
    <t>Duncan, George</t>
  </si>
  <si>
    <t>Figueroa, Leonard</t>
  </si>
  <si>
    <t>Hill, Robin</t>
  </si>
  <si>
    <t>Hunt, Norman</t>
  </si>
  <si>
    <t>Jennings, Gary</t>
  </si>
  <si>
    <t>Klein, Robert</t>
  </si>
  <si>
    <t>Lowery, Charles</t>
  </si>
  <si>
    <t>Marshall, Anita</t>
  </si>
  <si>
    <t>McClain, Steven</t>
  </si>
  <si>
    <t>Mendoza, Bobby</t>
  </si>
  <si>
    <t>Merritt, Kevin</t>
  </si>
  <si>
    <t>Neal, Sally</t>
  </si>
  <si>
    <t>Ortiz, Cynthia</t>
  </si>
  <si>
    <t>Parrish, Debra</t>
  </si>
  <si>
    <t>Reynolds, Barbara</t>
  </si>
  <si>
    <t>Robles, Charles</t>
  </si>
  <si>
    <t>Simon, Sheila</t>
  </si>
  <si>
    <t>Solis, Daniel</t>
  </si>
  <si>
    <t>Walter, Michael</t>
  </si>
  <si>
    <t>Weaver, Eric</t>
  </si>
  <si>
    <t>Welch, Michael</t>
  </si>
  <si>
    <t>Austin, William</t>
  </si>
  <si>
    <t>Engineering/Operations</t>
  </si>
  <si>
    <t>Carter, Allan</t>
  </si>
  <si>
    <t>Hodge, Craig</t>
  </si>
  <si>
    <t>Osborne, Bill</t>
  </si>
  <si>
    <t>Bryant, Douglas</t>
  </si>
  <si>
    <t>Environmental Health/Safety</t>
  </si>
  <si>
    <t>Quinn, Cinnamon</t>
  </si>
  <si>
    <t>Rivers, Douglas</t>
  </si>
  <si>
    <t>Schneider, Gay</t>
  </si>
  <si>
    <t>Wheeler, Meegan</t>
  </si>
  <si>
    <t>Wood, Larry</t>
  </si>
  <si>
    <t>Beard, Sandi</t>
  </si>
  <si>
    <t>Executive Education</t>
  </si>
  <si>
    <t>Ellis, Brenda</t>
  </si>
  <si>
    <t>Greer, Brian</t>
  </si>
  <si>
    <t>Hernandez, Glenn</t>
  </si>
  <si>
    <t>Hoffman, Brian D</t>
  </si>
  <si>
    <t>Ramos, Jan</t>
  </si>
  <si>
    <t>Spears, Melanie</t>
  </si>
  <si>
    <t>Sullivan, Robert</t>
  </si>
  <si>
    <t>Bond, John</t>
  </si>
  <si>
    <t>International Clinical Safety</t>
  </si>
  <si>
    <t>Freeman, Dennis</t>
  </si>
  <si>
    <t>Newman, Aria</t>
  </si>
  <si>
    <t>Webb, Jim</t>
  </si>
  <si>
    <t>Blankenship, Roger</t>
  </si>
  <si>
    <t>Logistics</t>
  </si>
  <si>
    <t>Brooks, Richard</t>
  </si>
  <si>
    <t>Clarke, Dennis</t>
  </si>
  <si>
    <t>Deleon, Jaquelyn</t>
  </si>
  <si>
    <t>Dodson, David</t>
  </si>
  <si>
    <t>Gates, Anne</t>
  </si>
  <si>
    <t>Martinez, Kathleen</t>
  </si>
  <si>
    <t>Murray, Rebecca</t>
  </si>
  <si>
    <t>Richardson, Debbie</t>
  </si>
  <si>
    <t>Rivera, Timothy</t>
  </si>
  <si>
    <t>Rogers, Colleen</t>
  </si>
  <si>
    <t>Roy, Margarita</t>
  </si>
  <si>
    <t>Schroeder, Ben</t>
  </si>
  <si>
    <t>Stephenson, Matt</t>
  </si>
  <si>
    <t>Todd, Steven</t>
  </si>
  <si>
    <t>Walls, Brian</t>
  </si>
  <si>
    <t>Walsh, Matthew</t>
  </si>
  <si>
    <t>Ward, Williams</t>
  </si>
  <si>
    <t>Washington, Phillip</t>
  </si>
  <si>
    <t>Wilkerson, Claudia</t>
  </si>
  <si>
    <t>Copeland, Roger</t>
  </si>
  <si>
    <t>Major Mfg Projects</t>
  </si>
  <si>
    <t>Keller, Jason</t>
  </si>
  <si>
    <t>Adkins, Michael</t>
  </si>
  <si>
    <t>Manufacturing</t>
  </si>
  <si>
    <t>Bartlett, Julia</t>
  </si>
  <si>
    <t>Bates, Verna</t>
  </si>
  <si>
    <t>Bishop, Juan</t>
  </si>
  <si>
    <t>Boyer, John</t>
  </si>
  <si>
    <t>Briggs, Bryan</t>
  </si>
  <si>
    <t>Brown, Donald</t>
  </si>
  <si>
    <t>Burns, Fiona</t>
  </si>
  <si>
    <t>Byrd, Asa</t>
  </si>
  <si>
    <t>Campos, Richard</t>
  </si>
  <si>
    <t>Casey, Ronald</t>
  </si>
  <si>
    <t>Chavez, Thomas</t>
  </si>
  <si>
    <t>Christensen, Jill</t>
  </si>
  <si>
    <t>Christian, Melissa</t>
  </si>
  <si>
    <t>Cole, Elbert</t>
  </si>
  <si>
    <t>Conner, Mark</t>
  </si>
  <si>
    <t>Day, David</t>
  </si>
  <si>
    <t>Doyle, Leslie</t>
  </si>
  <si>
    <t>Drake, Kyle</t>
  </si>
  <si>
    <t>Farmer, Suzanne</t>
  </si>
  <si>
    <t>Flowers, Kathleen</t>
  </si>
  <si>
    <t>Ford, Matt</t>
  </si>
  <si>
    <t>Foster, Blane</t>
  </si>
  <si>
    <t>Fox, Ellen</t>
  </si>
  <si>
    <t>Frank, William</t>
  </si>
  <si>
    <t>Garza, Anthony</t>
  </si>
  <si>
    <t>Gilbert, Shannon</t>
  </si>
  <si>
    <t>Giles, Kathleen</t>
  </si>
  <si>
    <t>Gilmore, Terry</t>
  </si>
  <si>
    <t>Glenn, Christopher</t>
  </si>
  <si>
    <t>Grant, Leonard</t>
  </si>
  <si>
    <t>Griffin, Debbi</t>
  </si>
  <si>
    <t>Hale, Deon</t>
  </si>
  <si>
    <t>Harding, Erin</t>
  </si>
  <si>
    <t>Harper, Cynthia</t>
  </si>
  <si>
    <t>Holloway, Chris</t>
  </si>
  <si>
    <t>House, Paul</t>
  </si>
  <si>
    <t>Hurst, Thomas</t>
  </si>
  <si>
    <t>Hutchinson, Robin</t>
  </si>
  <si>
    <t>Jacobs, Florianne</t>
  </si>
  <si>
    <t>Jensen, Kristina</t>
  </si>
  <si>
    <t>Lara, Mark</t>
  </si>
  <si>
    <t>Leach, Jingwen</t>
  </si>
  <si>
    <t>Lopez, Stephen</t>
  </si>
  <si>
    <t>Maldonado, Robert</t>
  </si>
  <si>
    <t>Melton, Scott</t>
  </si>
  <si>
    <t>Middleton, Jen</t>
  </si>
  <si>
    <t>Molina, Michael</t>
  </si>
  <si>
    <t>Montoya, Lisa</t>
  </si>
  <si>
    <t>Moody, Matthew</t>
  </si>
  <si>
    <t>Morse, Michael</t>
  </si>
  <si>
    <t>Olsen, Ewan</t>
  </si>
  <si>
    <t>Palmer, Terry</t>
  </si>
  <si>
    <t>Patel, Donald</t>
  </si>
  <si>
    <t>Patterson, Robert</t>
  </si>
  <si>
    <t>Patton, Corey</t>
  </si>
  <si>
    <t>Pena, Erik</t>
  </si>
  <si>
    <t>Perry, Christopher</t>
  </si>
  <si>
    <t>Phillips, Liesl</t>
  </si>
  <si>
    <t>Poole, Tracy</t>
  </si>
  <si>
    <t>Preston, Chris</t>
  </si>
  <si>
    <t>Riley, David</t>
  </si>
  <si>
    <t>Rodgers, Daniel</t>
  </si>
  <si>
    <t>Rojas, Charles</t>
  </si>
  <si>
    <t>Salinas, Jon</t>
  </si>
  <si>
    <t>Sandoval, James</t>
  </si>
  <si>
    <t>Santiago, Michael</t>
  </si>
  <si>
    <t>Sheppard, Curtis</t>
  </si>
  <si>
    <t>Sherman, Karin</t>
  </si>
  <si>
    <t>Shields, Robert</t>
  </si>
  <si>
    <t>Simmons, Robert</t>
  </si>
  <si>
    <t>Singleton, David</t>
  </si>
  <si>
    <t>Snow, Desiree</t>
  </si>
  <si>
    <t>Snyder, Duane</t>
  </si>
  <si>
    <t>Spencer, Boyd</t>
  </si>
  <si>
    <t>Stokes, Jonathan</t>
  </si>
  <si>
    <t>Turner, Ray</t>
  </si>
  <si>
    <t>Velasquez, Clint</t>
  </si>
  <si>
    <t>Wallace, Timothy</t>
  </si>
  <si>
    <t>Webster, David</t>
  </si>
  <si>
    <t>Barron, Michael</t>
  </si>
  <si>
    <t>Manufacturing Admin</t>
  </si>
  <si>
    <t>Kemp, Holly</t>
  </si>
  <si>
    <t>Moreno, Chris</t>
  </si>
  <si>
    <t>Shannon, Kevin</t>
  </si>
  <si>
    <t>Wiley, Gustavo</t>
  </si>
  <si>
    <t>Aguilar, Kevin</t>
  </si>
  <si>
    <t>Operations</t>
  </si>
  <si>
    <t>Alvarado, Sonia</t>
  </si>
  <si>
    <t>Carr, Susan</t>
  </si>
  <si>
    <t>Charles, Jeffrey</t>
  </si>
  <si>
    <t>Cohen, Bruce</t>
  </si>
  <si>
    <t>Conway, Brett</t>
  </si>
  <si>
    <t>Davidson, Jaime</t>
  </si>
  <si>
    <t>Dyer, Carrie</t>
  </si>
  <si>
    <t>Floyd, Eric</t>
  </si>
  <si>
    <t>Frazier, Chris</t>
  </si>
  <si>
    <t>Garcia, Karen</t>
  </si>
  <si>
    <t>Hancock, Allen</t>
  </si>
  <si>
    <t>Harrison, Jonathan</t>
  </si>
  <si>
    <t>Harvey, Michael</t>
  </si>
  <si>
    <t>Hopkins, Lisa</t>
  </si>
  <si>
    <t>Kerr, Mihaela</t>
  </si>
  <si>
    <t>Lewis, Frederick</t>
  </si>
  <si>
    <t>Maxwell, Jill</t>
  </si>
  <si>
    <t>May, Steve</t>
  </si>
  <si>
    <t>McGee, Carol</t>
  </si>
  <si>
    <t>Mercado, David</t>
  </si>
  <si>
    <t>Miles, Kenneth</t>
  </si>
  <si>
    <t>Page, Lisa</t>
  </si>
  <si>
    <t>Rich, Brent</t>
  </si>
  <si>
    <t>Silva, Stephen</t>
  </si>
  <si>
    <t>Smith, Koleen</t>
  </si>
  <si>
    <t>Stephens, Bonnie</t>
  </si>
  <si>
    <t>Wells, Carlos</t>
  </si>
  <si>
    <t>Wyatt, Kelly</t>
  </si>
  <si>
    <t>Barr, Jennifer</t>
  </si>
  <si>
    <t>Peptide Chemistry</t>
  </si>
  <si>
    <t>Bradford, Raymond</t>
  </si>
  <si>
    <t>Buckel, Patricia</t>
  </si>
  <si>
    <t>Chang, Gabriel</t>
  </si>
  <si>
    <t>Dalton, Carol</t>
  </si>
  <si>
    <t>Edwards, Phillip</t>
  </si>
  <si>
    <t>Hood, Renee</t>
  </si>
  <si>
    <t>Ryan, Ryan</t>
  </si>
  <si>
    <t>Skinner, Jason</t>
  </si>
  <si>
    <t>Mitchell, Shannon</t>
  </si>
  <si>
    <t>Pharmacokinetics</t>
  </si>
  <si>
    <t>Atkinson, Danielle</t>
  </si>
  <si>
    <t>Process Development</t>
  </si>
  <si>
    <t>Beck, Craig</t>
  </si>
  <si>
    <t>Blake, Thomas</t>
  </si>
  <si>
    <t>Booth, Raquel</t>
  </si>
  <si>
    <t>Cline, Rebecca</t>
  </si>
  <si>
    <t>Daniels, Janet</t>
  </si>
  <si>
    <t>Eaton, Cris</t>
  </si>
  <si>
    <t>Fields, Cathy</t>
  </si>
  <si>
    <t>Gibson, Janet</t>
  </si>
  <si>
    <t>Golden, Christine</t>
  </si>
  <si>
    <t>Goodwin, April</t>
  </si>
  <si>
    <t>Graves, Michael</t>
  </si>
  <si>
    <t>Harmon, Paul</t>
  </si>
  <si>
    <t>Hoover, Evangeline</t>
  </si>
  <si>
    <t>Jenkins, Scott</t>
  </si>
  <si>
    <t>Joseph, Christopher</t>
  </si>
  <si>
    <t>Juarez, Neill</t>
  </si>
  <si>
    <t>McCarthy, Ryan</t>
  </si>
  <si>
    <t>Moss, Chan</t>
  </si>
  <si>
    <t>Newton, Leigh</t>
  </si>
  <si>
    <t>Reyes, Mary</t>
  </si>
  <si>
    <t>Roman, Teri</t>
  </si>
  <si>
    <t>Sanchez, Greg</t>
  </si>
  <si>
    <t>Thornton, Charles</t>
  </si>
  <si>
    <t>Velez, Letitia</t>
  </si>
  <si>
    <t>Wade, Kevin</t>
  </si>
  <si>
    <t>Castillo, Sheri</t>
  </si>
  <si>
    <t>Professional Training Group</t>
  </si>
  <si>
    <t>Estes, Mary</t>
  </si>
  <si>
    <t>Finley, James</t>
  </si>
  <si>
    <t>Hanson, Dennis</t>
  </si>
  <si>
    <t>Houston, Mark</t>
  </si>
  <si>
    <t>Pennington, Gary</t>
  </si>
  <si>
    <t>Pruitt, Randy</t>
  </si>
  <si>
    <t>Ross, Janice</t>
  </si>
  <si>
    <t>Stanley, Eric</t>
  </si>
  <si>
    <t>Vazquez, Kenneth</t>
  </si>
  <si>
    <t>Williams, Scott</t>
  </si>
  <si>
    <t>Alexander, Charles</t>
  </si>
  <si>
    <t>Project &amp; Contract Services</t>
  </si>
  <si>
    <t>Barber, Robbie</t>
  </si>
  <si>
    <t>Bass, Justin</t>
  </si>
  <si>
    <t>Baxter, Teresa</t>
  </si>
  <si>
    <t>Blair, Sperry</t>
  </si>
  <si>
    <t>Boyd, Debra</t>
  </si>
  <si>
    <t>Bridges, Jeff</t>
  </si>
  <si>
    <t>Camacho, Stephanie</t>
  </si>
  <si>
    <t>Carrillo, Robert</t>
  </si>
  <si>
    <t>Clay, William</t>
  </si>
  <si>
    <t>Clayton, Gregory</t>
  </si>
  <si>
    <t>Cox, Stephanie</t>
  </si>
  <si>
    <t>Daniel, Robert</t>
  </si>
  <si>
    <t>Dominguez, Duane</t>
  </si>
  <si>
    <t>Foley, Peter</t>
  </si>
  <si>
    <t>Gallagher, Johnson</t>
  </si>
  <si>
    <t>Gordon, Diane</t>
  </si>
  <si>
    <t>Gray, Mark</t>
  </si>
  <si>
    <t>Guerra, Karen</t>
  </si>
  <si>
    <t>Guzman, Don</t>
  </si>
  <si>
    <t>Hammond, Robert</t>
  </si>
  <si>
    <t>Hansen, Andrew</t>
  </si>
  <si>
    <t>Herman, Henrietta</t>
  </si>
  <si>
    <t>Hull, Jeanne</t>
  </si>
  <si>
    <t>Kelley, Nancy</t>
  </si>
  <si>
    <t>Lawrence, Ronald</t>
  </si>
  <si>
    <t>Leon, Emily</t>
  </si>
  <si>
    <t>McLean, Richard</t>
  </si>
  <si>
    <t>Mendez, Max</t>
  </si>
  <si>
    <t>Morrow, Richard</t>
  </si>
  <si>
    <t>Nash, Mark</t>
  </si>
  <si>
    <t>Pacheco, Therese</t>
  </si>
  <si>
    <t>Parker, Carl</t>
  </si>
  <si>
    <t>Parks, Christopher</t>
  </si>
  <si>
    <t>Pierce, Karen</t>
  </si>
  <si>
    <t>Porter, Rachel</t>
  </si>
  <si>
    <t>Reed, Larry</t>
  </si>
  <si>
    <t>Rhodes, Brenda</t>
  </si>
  <si>
    <t>Rodriquez, Denise</t>
  </si>
  <si>
    <t>Schultz, Norman</t>
  </si>
  <si>
    <t>Sexton, John</t>
  </si>
  <si>
    <t>Shelton, Donna</t>
  </si>
  <si>
    <t>Thompson, John</t>
  </si>
  <si>
    <t>Walters, Ann</t>
  </si>
  <si>
    <t>White, Daniel</t>
  </si>
  <si>
    <t>York, Steven</t>
  </si>
  <si>
    <t>Zimmerman, Julian</t>
  </si>
  <si>
    <t>Anderson, Terry</t>
  </si>
  <si>
    <t>Quality Assurance</t>
  </si>
  <si>
    <t>Bean, Deborah</t>
  </si>
  <si>
    <t>Beasley, Timothy</t>
  </si>
  <si>
    <t>Blackburn, Kathryn</t>
  </si>
  <si>
    <t>Blackwell, Brandon</t>
  </si>
  <si>
    <t>Bowen, Kes</t>
  </si>
  <si>
    <t>Buchanan, Dennis</t>
  </si>
  <si>
    <t>Burke, Michael</t>
  </si>
  <si>
    <t>Callahan, Marilyn</t>
  </si>
  <si>
    <t>Cannon, Jenny</t>
  </si>
  <si>
    <t>Chase, Troy</t>
  </si>
  <si>
    <t>Cooper, Lisa</t>
  </si>
  <si>
    <t>Erickson, Ricky</t>
  </si>
  <si>
    <t>Gonzalez, David</t>
  </si>
  <si>
    <t>Gregory, Jon</t>
  </si>
  <si>
    <t>Gutierrez, Regina</t>
  </si>
  <si>
    <t>Hamilton, Theo</t>
  </si>
  <si>
    <t>King, Taslim</t>
  </si>
  <si>
    <t>Kirby, Michael</t>
  </si>
  <si>
    <t>Knight, Denise</t>
  </si>
  <si>
    <t>Lamb, John</t>
  </si>
  <si>
    <t>Larsen, Lara</t>
  </si>
  <si>
    <t>Lyons, Brian</t>
  </si>
  <si>
    <t>Marsh, Cynthia</t>
  </si>
  <si>
    <t>Mathews, Marcia</t>
  </si>
  <si>
    <t>Mathis, Shari</t>
  </si>
  <si>
    <t>McLaughlin, Edward</t>
  </si>
  <si>
    <t>Montgomery, Chris</t>
  </si>
  <si>
    <t>Morrison, Julie</t>
  </si>
  <si>
    <t>Nicholson, Lee</t>
  </si>
  <si>
    <t>Olson, Melanie</t>
  </si>
  <si>
    <t>Padilla, Christopher</t>
  </si>
  <si>
    <t>Richard, Karen</t>
  </si>
  <si>
    <t>Rose, Mark</t>
  </si>
  <si>
    <t>Santos, Garret</t>
  </si>
  <si>
    <t>Sharp, Janine</t>
  </si>
  <si>
    <t>Shepherd, Annie</t>
  </si>
  <si>
    <t>Stone, Brian</t>
  </si>
  <si>
    <t>Sutton, Matthew</t>
  </si>
  <si>
    <t>Tate, Zachary</t>
  </si>
  <si>
    <t>Trevino, Gary</t>
  </si>
  <si>
    <t>Whitehead, Carolyn</t>
  </si>
  <si>
    <t>Young, Benjamin</t>
  </si>
  <si>
    <t>Abbott, James</t>
  </si>
  <si>
    <t>Quality Control</t>
  </si>
  <si>
    <t>Adams, David</t>
  </si>
  <si>
    <t>Anthony, Robert</t>
  </si>
  <si>
    <t>Booker, Judith</t>
  </si>
  <si>
    <t>Bruce, Kevin</t>
  </si>
  <si>
    <t>Bryan, Thomas</t>
  </si>
  <si>
    <t>Castro, Christopher</t>
  </si>
  <si>
    <t>Cortez, Jack</t>
  </si>
  <si>
    <t>Craig, Alan</t>
  </si>
  <si>
    <t>Dennis, Paul</t>
  </si>
  <si>
    <t>Dorsey, Matthew</t>
  </si>
  <si>
    <t>Flores, Angela</t>
  </si>
  <si>
    <t>Gonzales, David</t>
  </si>
  <si>
    <t>Hartman, Michael</t>
  </si>
  <si>
    <t>Herrera, Shawn</t>
  </si>
  <si>
    <t>Howell, Douglas</t>
  </si>
  <si>
    <t>Kelly, Icelita</t>
  </si>
  <si>
    <t>Kirk, Chris</t>
  </si>
  <si>
    <t>Lang, Dana</t>
  </si>
  <si>
    <t>Lawson, Erin</t>
  </si>
  <si>
    <t>Lee, Charles</t>
  </si>
  <si>
    <t>Little, Steve</t>
  </si>
  <si>
    <t>Mack, Barry</t>
  </si>
  <si>
    <t>Mason, Suzanne</t>
  </si>
  <si>
    <t>Miranda, Elena</t>
  </si>
  <si>
    <t>Navarro, Marc</t>
  </si>
  <si>
    <t>Norris, Tamara</t>
  </si>
  <si>
    <t>Norton, Bruce</t>
  </si>
  <si>
    <t>Obrien, Madelyn</t>
  </si>
  <si>
    <t>Park, Timothy</t>
  </si>
  <si>
    <t>Parsons, Phillip</t>
  </si>
  <si>
    <t>Powers, Tia</t>
  </si>
  <si>
    <t>Pugh, Lawrence</t>
  </si>
  <si>
    <t>Ray, ReAnnon</t>
  </si>
  <si>
    <t>Reese, Marc</t>
  </si>
  <si>
    <t>Reid, Elizabeth</t>
  </si>
  <si>
    <t>Rush, Lateef</t>
  </si>
  <si>
    <t>Townsend, Jerry</t>
  </si>
  <si>
    <t>Villarreal, Stephen</t>
  </si>
  <si>
    <t>Walker, Mike</t>
  </si>
  <si>
    <t>Watts, Curtis</t>
  </si>
  <si>
    <t>Wilkins, Jesse</t>
  </si>
  <si>
    <t>Willis, Ralph</t>
  </si>
  <si>
    <t>Wise, Ted</t>
  </si>
  <si>
    <t>Black, Cliff</t>
  </si>
  <si>
    <t>Research Center</t>
  </si>
  <si>
    <t>English, David</t>
  </si>
  <si>
    <t>Myers, Marc</t>
  </si>
  <si>
    <t>Solomon, Michael</t>
  </si>
  <si>
    <t>Research/Development</t>
  </si>
  <si>
    <t>sumif</t>
  </si>
  <si>
    <t>sumifs fulltime</t>
  </si>
  <si>
    <t>sumif contract staff</t>
  </si>
  <si>
    <t>countifs</t>
  </si>
  <si>
    <t>countif</t>
  </si>
  <si>
    <t>averageif</t>
  </si>
  <si>
    <t>condition IF/AND</t>
  </si>
  <si>
    <t>condition IF/OR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</si>
</sst>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64" fontId="3" fillId="0" borderId="0" xfId="0" applyNumberFormat="1" applyFont="1"/>
    <xf numFmtId="165" fontId="0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G1" sqref="G1"/>
    </sheetView>
  </sheetViews>
  <sheetFormatPr defaultColWidth="13.85546875" defaultRowHeight="15"/>
  <cols>
    <col min="1" max="3" width="9.42578125" customWidth="1"/>
    <col min="4" max="4" width="16.85546875" customWidth="1"/>
    <col min="5" max="6" width="15.5703125" customWidth="1"/>
    <col min="7" max="7" width="12.85546875" bestFit="1" customWidth="1"/>
    <col min="8" max="27" width="9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10">
      <c r="A2" s="2" t="s">
        <v>5</v>
      </c>
      <c r="B2" s="2" t="s">
        <v>6</v>
      </c>
      <c r="C2" s="2" t="s">
        <v>7</v>
      </c>
      <c r="D2" s="2" t="s">
        <v>8</v>
      </c>
      <c r="E2" s="2">
        <v>599</v>
      </c>
      <c r="F2" s="2">
        <v>3</v>
      </c>
      <c r="G2" t="str">
        <f>IF(C2="Touch","High Demand","Low Demand")</f>
        <v>High Demand</v>
      </c>
      <c r="J2">
        <v>199.66666666666666</v>
      </c>
    </row>
    <row r="3" spans="1:10">
      <c r="A3" s="2" t="s">
        <v>9</v>
      </c>
      <c r="B3" s="2" t="s">
        <v>10</v>
      </c>
      <c r="C3" s="2" t="s">
        <v>7</v>
      </c>
      <c r="D3" s="2" t="s">
        <v>11</v>
      </c>
      <c r="E3" s="2">
        <v>549</v>
      </c>
      <c r="F3" s="2">
        <v>3</v>
      </c>
      <c r="G3" t="str">
        <f t="shared" ref="G3:G16" si="0">IF(C3="Touch","High Demand","Low Demand")</f>
        <v>High Demand</v>
      </c>
      <c r="J3">
        <v>183</v>
      </c>
    </row>
    <row r="4" spans="1:10">
      <c r="A4" s="2" t="s">
        <v>12</v>
      </c>
      <c r="B4" s="2" t="s">
        <v>13</v>
      </c>
      <c r="C4" s="2" t="s">
        <v>7</v>
      </c>
      <c r="D4" s="2" t="s">
        <v>11</v>
      </c>
      <c r="E4" s="2">
        <v>649</v>
      </c>
      <c r="F4" s="2">
        <v>4</v>
      </c>
      <c r="G4" t="str">
        <f t="shared" si="0"/>
        <v>High Demand</v>
      </c>
      <c r="J4">
        <v>162.25</v>
      </c>
    </row>
    <row r="5" spans="1:10">
      <c r="A5" s="2" t="s">
        <v>14</v>
      </c>
      <c r="B5" s="2" t="s">
        <v>15</v>
      </c>
      <c r="C5" s="2" t="s">
        <v>7</v>
      </c>
      <c r="D5" s="2" t="s">
        <v>11</v>
      </c>
      <c r="E5" s="2">
        <v>499</v>
      </c>
      <c r="F5" s="2">
        <v>1</v>
      </c>
      <c r="G5" t="str">
        <f t="shared" si="0"/>
        <v>High Demand</v>
      </c>
      <c r="J5">
        <v>499</v>
      </c>
    </row>
    <row r="6" spans="1:10">
      <c r="A6" s="2" t="s">
        <v>16</v>
      </c>
      <c r="B6" s="2" t="s">
        <v>17</v>
      </c>
      <c r="C6" s="2" t="s">
        <v>7</v>
      </c>
      <c r="D6" s="2" t="s">
        <v>11</v>
      </c>
      <c r="E6" s="2">
        <v>299</v>
      </c>
      <c r="F6" s="2">
        <v>5</v>
      </c>
      <c r="G6" t="str">
        <f t="shared" si="0"/>
        <v>High Demand</v>
      </c>
      <c r="J6">
        <v>59.8</v>
      </c>
    </row>
    <row r="7" spans="1:10">
      <c r="A7" s="2" t="s">
        <v>18</v>
      </c>
      <c r="B7" s="2" t="s">
        <v>19</v>
      </c>
      <c r="C7" s="2" t="s">
        <v>20</v>
      </c>
      <c r="D7" s="2" t="s">
        <v>21</v>
      </c>
      <c r="E7" s="2">
        <v>199</v>
      </c>
      <c r="F7" s="2">
        <v>2</v>
      </c>
      <c r="G7" t="str">
        <f t="shared" si="0"/>
        <v>Low Demand</v>
      </c>
      <c r="J7">
        <v>99.5</v>
      </c>
    </row>
    <row r="8" spans="1:10">
      <c r="A8" s="2" t="s">
        <v>22</v>
      </c>
      <c r="B8" s="2" t="s">
        <v>23</v>
      </c>
      <c r="C8" s="2" t="s">
        <v>20</v>
      </c>
      <c r="D8" s="2" t="s">
        <v>21</v>
      </c>
      <c r="E8" s="2">
        <v>149</v>
      </c>
      <c r="F8" s="2">
        <v>2</v>
      </c>
      <c r="G8" t="str">
        <f t="shared" si="0"/>
        <v>Low Demand</v>
      </c>
      <c r="J8">
        <v>74.5</v>
      </c>
    </row>
    <row r="9" spans="1:10">
      <c r="A9" s="2" t="s">
        <v>24</v>
      </c>
      <c r="B9" s="2" t="s">
        <v>25</v>
      </c>
      <c r="C9" s="2" t="s">
        <v>7</v>
      </c>
      <c r="D9" s="2" t="s">
        <v>11</v>
      </c>
      <c r="E9" s="2">
        <v>549</v>
      </c>
      <c r="F9" s="2">
        <v>3</v>
      </c>
      <c r="G9" t="str">
        <f t="shared" si="0"/>
        <v>High Demand</v>
      </c>
      <c r="J9">
        <v>183</v>
      </c>
    </row>
    <row r="10" spans="1:10">
      <c r="A10" s="2" t="s">
        <v>26</v>
      </c>
      <c r="B10" s="2" t="s">
        <v>27</v>
      </c>
      <c r="C10" s="2" t="s">
        <v>7</v>
      </c>
      <c r="D10" s="2" t="s">
        <v>28</v>
      </c>
      <c r="E10" s="2">
        <v>749</v>
      </c>
      <c r="F10" s="2">
        <v>1</v>
      </c>
      <c r="G10" t="str">
        <f t="shared" si="0"/>
        <v>High Demand</v>
      </c>
      <c r="J10">
        <v>749</v>
      </c>
    </row>
    <row r="11" spans="1:10">
      <c r="A11" s="2" t="s">
        <v>29</v>
      </c>
      <c r="B11" s="2" t="s">
        <v>30</v>
      </c>
      <c r="C11" s="2" t="s">
        <v>20</v>
      </c>
      <c r="D11" s="2" t="s">
        <v>31</v>
      </c>
      <c r="E11" s="2">
        <v>399</v>
      </c>
      <c r="F11" s="2">
        <v>2</v>
      </c>
      <c r="G11" t="str">
        <f t="shared" si="0"/>
        <v>Low Demand</v>
      </c>
      <c r="J11">
        <v>199.5</v>
      </c>
    </row>
    <row r="12" spans="1:10">
      <c r="A12" s="2" t="s">
        <v>32</v>
      </c>
      <c r="B12" s="2" t="s">
        <v>33</v>
      </c>
      <c r="C12" s="2" t="s">
        <v>7</v>
      </c>
      <c r="D12" s="2" t="s">
        <v>11</v>
      </c>
      <c r="E12" s="2">
        <v>349</v>
      </c>
      <c r="F12" s="2">
        <v>2</v>
      </c>
      <c r="G12" t="str">
        <f t="shared" si="0"/>
        <v>High Demand</v>
      </c>
      <c r="J12">
        <v>174.5</v>
      </c>
    </row>
    <row r="13" spans="1:10">
      <c r="A13" s="2" t="s">
        <v>34</v>
      </c>
      <c r="B13" s="2" t="s">
        <v>35</v>
      </c>
      <c r="C13" s="2" t="s">
        <v>20</v>
      </c>
      <c r="D13" s="2" t="s">
        <v>8</v>
      </c>
      <c r="E13" s="2">
        <v>99</v>
      </c>
      <c r="F13" s="2">
        <v>2</v>
      </c>
      <c r="G13" t="str">
        <f t="shared" si="0"/>
        <v>Low Demand</v>
      </c>
      <c r="J13">
        <v>49.5</v>
      </c>
    </row>
    <row r="14" spans="1:10">
      <c r="A14" s="2" t="s">
        <v>36</v>
      </c>
      <c r="B14" s="2" t="s">
        <v>37</v>
      </c>
      <c r="C14" s="2" t="s">
        <v>7</v>
      </c>
      <c r="D14" s="2" t="s">
        <v>11</v>
      </c>
      <c r="E14" s="2">
        <v>249</v>
      </c>
      <c r="F14" s="2">
        <v>1</v>
      </c>
      <c r="G14" t="str">
        <f t="shared" si="0"/>
        <v>High Demand</v>
      </c>
      <c r="J14">
        <v>249</v>
      </c>
    </row>
    <row r="15" spans="1:10">
      <c r="A15" s="2" t="s">
        <v>38</v>
      </c>
      <c r="B15" s="2" t="s">
        <v>39</v>
      </c>
      <c r="C15" s="2" t="s">
        <v>20</v>
      </c>
      <c r="D15" s="2" t="s">
        <v>21</v>
      </c>
      <c r="E15" s="2">
        <v>349</v>
      </c>
      <c r="F15" s="2">
        <v>4</v>
      </c>
      <c r="G15" t="str">
        <f t="shared" si="0"/>
        <v>Low Demand</v>
      </c>
      <c r="J15">
        <v>87.25</v>
      </c>
    </row>
    <row r="16" spans="1:10">
      <c r="A16" s="2" t="s">
        <v>40</v>
      </c>
      <c r="B16" s="2" t="s">
        <v>41</v>
      </c>
      <c r="C16" s="2" t="s">
        <v>7</v>
      </c>
      <c r="D16" s="2" t="s">
        <v>11</v>
      </c>
      <c r="E16" s="2">
        <v>649</v>
      </c>
      <c r="F16" s="2">
        <v>0</v>
      </c>
      <c r="G16" t="str">
        <f t="shared" si="0"/>
        <v>High Demand</v>
      </c>
      <c r="J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tabSelected="1" workbookViewId="0">
      <selection activeCell="K1" sqref="K1"/>
    </sheetView>
  </sheetViews>
  <sheetFormatPr defaultColWidth="13.85546875" defaultRowHeight="15"/>
  <cols>
    <col min="1" max="1" width="9.42578125" customWidth="1"/>
    <col min="2" max="2" width="17.7109375" customWidth="1"/>
    <col min="3" max="3" width="17.5703125" customWidth="1"/>
    <col min="4" max="9" width="9.42578125" customWidth="1"/>
    <col min="10" max="10" width="16.42578125" bestFit="1" customWidth="1"/>
    <col min="11" max="26" width="9.42578125" customWidth="1"/>
  </cols>
  <sheetData>
    <row r="1" spans="1:1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t="s">
        <v>586</v>
      </c>
      <c r="K1" t="s">
        <v>587</v>
      </c>
    </row>
    <row r="2" spans="1:11">
      <c r="A2" s="2">
        <v>1</v>
      </c>
      <c r="B2" s="2" t="s">
        <v>51</v>
      </c>
      <c r="C2" s="2" t="s">
        <v>52</v>
      </c>
      <c r="D2" s="2" t="s">
        <v>53</v>
      </c>
      <c r="E2" s="2">
        <v>4</v>
      </c>
      <c r="F2" s="2">
        <v>10</v>
      </c>
      <c r="G2">
        <v>44</v>
      </c>
      <c r="H2">
        <f>SUM(E2:G2)</f>
        <v>58</v>
      </c>
      <c r="I2" t="str" cm="1">
        <f t="array" ref="I2">_xlfn.IFS(H2&gt;=75,"A", H2&gt;=65,"B", H2&gt;=55,"B",H2&gt;=45,"C",H2&lt;=45,"F")</f>
        <v>B</v>
      </c>
      <c r="J2" t="str">
        <f t="shared" ref="J2:J65" si="0">IF(AND(D2="Science",C2="Female"),"Promoted","repeat")</f>
        <v>Promoted</v>
      </c>
      <c r="K2" t="str">
        <f t="shared" ref="K2:K65" si="1">IF(OR(D2="Science",C2="Female"),"Promoted","repeat")</f>
        <v>Promoted</v>
      </c>
    </row>
    <row r="3" spans="1:11">
      <c r="A3" s="2">
        <v>2</v>
      </c>
      <c r="B3" s="2" t="s">
        <v>54</v>
      </c>
      <c r="C3" s="2" t="s">
        <v>55</v>
      </c>
      <c r="D3" s="2" t="s">
        <v>53</v>
      </c>
      <c r="E3" s="2">
        <v>4</v>
      </c>
      <c r="F3" s="2">
        <v>10</v>
      </c>
      <c r="G3">
        <v>39</v>
      </c>
      <c r="H3">
        <f t="shared" ref="H3:H66" si="2">SUM(E3:G3)</f>
        <v>53</v>
      </c>
      <c r="I3" t="str" cm="1">
        <f t="array" ref="I3">_xlfn.IFS(H3&gt;=75,"A", H3&gt;=65,"B", H3&gt;=55,"B",H3&gt;=45,"C",H3&lt;=45,"F")</f>
        <v>C</v>
      </c>
      <c r="J3" t="str">
        <f t="shared" si="0"/>
        <v>repeat</v>
      </c>
      <c r="K3" t="str">
        <f t="shared" si="1"/>
        <v>Promoted</v>
      </c>
    </row>
    <row r="4" spans="1:11">
      <c r="A4" s="2">
        <v>3</v>
      </c>
      <c r="B4" s="2" t="s">
        <v>56</v>
      </c>
      <c r="C4" s="2" t="s">
        <v>55</v>
      </c>
      <c r="D4" s="2" t="s">
        <v>53</v>
      </c>
      <c r="E4" s="2">
        <v>2</v>
      </c>
      <c r="F4" s="2">
        <v>1</v>
      </c>
      <c r="G4">
        <v>42</v>
      </c>
      <c r="H4">
        <f t="shared" si="2"/>
        <v>45</v>
      </c>
      <c r="I4" t="str" cm="1">
        <f t="array" ref="I4">_xlfn.IFS(H4&gt;=75,"A", H4&gt;=65,"B", H4&gt;=55,"B",H4&gt;=45,"C",H4&lt;=45,"F")</f>
        <v>C</v>
      </c>
      <c r="J4" t="str">
        <f t="shared" si="0"/>
        <v>repeat</v>
      </c>
      <c r="K4" t="str">
        <f t="shared" si="1"/>
        <v>Promoted</v>
      </c>
    </row>
    <row r="5" spans="1:11">
      <c r="A5" s="2">
        <v>4</v>
      </c>
      <c r="B5" s="2" t="s">
        <v>57</v>
      </c>
      <c r="C5" s="2" t="s">
        <v>52</v>
      </c>
      <c r="D5" s="2" t="s">
        <v>53</v>
      </c>
      <c r="E5" s="2">
        <v>1</v>
      </c>
      <c r="F5" s="2">
        <v>19</v>
      </c>
      <c r="G5">
        <v>54</v>
      </c>
      <c r="H5">
        <f t="shared" si="2"/>
        <v>74</v>
      </c>
      <c r="I5" t="str" cm="1">
        <f t="array" ref="I5">_xlfn.IFS(H5&gt;=75,"A", H5&gt;=65,"B", H5&gt;=55,"B",H5&gt;=45,"C",H5&lt;=45,"F")</f>
        <v>B</v>
      </c>
      <c r="J5" t="str">
        <f t="shared" si="0"/>
        <v>Promoted</v>
      </c>
      <c r="K5" t="str">
        <f t="shared" si="1"/>
        <v>Promoted</v>
      </c>
    </row>
    <row r="6" spans="1:11">
      <c r="A6" s="2">
        <v>5</v>
      </c>
      <c r="B6" s="2" t="s">
        <v>58</v>
      </c>
      <c r="C6" s="2" t="s">
        <v>52</v>
      </c>
      <c r="D6" s="2" t="s">
        <v>53</v>
      </c>
      <c r="E6" s="2">
        <v>7</v>
      </c>
      <c r="F6" s="2">
        <v>20</v>
      </c>
      <c r="G6">
        <v>35</v>
      </c>
      <c r="H6">
        <f t="shared" si="2"/>
        <v>62</v>
      </c>
      <c r="I6" t="str" cm="1">
        <f t="array" ref="I6">_xlfn.IFS(H6&gt;=75,"A", H6&gt;=65,"B", H6&gt;=55,"B",H6&gt;=45,"C",H6&lt;=45,"F")</f>
        <v>B</v>
      </c>
      <c r="J6" t="str">
        <f t="shared" si="0"/>
        <v>Promoted</v>
      </c>
      <c r="K6" t="str">
        <f t="shared" si="1"/>
        <v>Promoted</v>
      </c>
    </row>
    <row r="7" spans="1:11">
      <c r="A7" s="2">
        <v>6</v>
      </c>
      <c r="B7" s="2" t="s">
        <v>59</v>
      </c>
      <c r="C7" s="2" t="s">
        <v>55</v>
      </c>
      <c r="D7" s="2" t="s">
        <v>53</v>
      </c>
      <c r="E7" s="2">
        <v>9</v>
      </c>
      <c r="F7" s="2">
        <v>19</v>
      </c>
      <c r="G7">
        <v>41</v>
      </c>
      <c r="H7">
        <f t="shared" si="2"/>
        <v>69</v>
      </c>
      <c r="I7" t="str" cm="1">
        <f t="array" ref="I7">_xlfn.IFS(H7&gt;=75,"A", H7&gt;=65,"B", H7&gt;=55,"B",H7&gt;=45,"C",H7&lt;=45,"F")</f>
        <v>B</v>
      </c>
      <c r="J7" t="str">
        <f t="shared" si="0"/>
        <v>repeat</v>
      </c>
      <c r="K7" t="str">
        <f t="shared" si="1"/>
        <v>Promoted</v>
      </c>
    </row>
    <row r="8" spans="1:11">
      <c r="A8" s="2">
        <v>7</v>
      </c>
      <c r="B8" s="2" t="s">
        <v>60</v>
      </c>
      <c r="C8" s="2" t="s">
        <v>55</v>
      </c>
      <c r="D8" s="2" t="s">
        <v>53</v>
      </c>
      <c r="E8" s="2">
        <v>10</v>
      </c>
      <c r="F8" s="2">
        <v>14</v>
      </c>
      <c r="G8">
        <v>39</v>
      </c>
      <c r="H8">
        <f t="shared" si="2"/>
        <v>63</v>
      </c>
      <c r="I8" t="str" cm="1">
        <f t="array" ref="I8">_xlfn.IFS(H8&gt;=75,"A", H8&gt;=65,"B", H8&gt;=55,"B",H8&gt;=45,"C",H8&lt;=45,"F")</f>
        <v>B</v>
      </c>
      <c r="J8" t="str">
        <f t="shared" si="0"/>
        <v>repeat</v>
      </c>
      <c r="K8" t="str">
        <f t="shared" si="1"/>
        <v>Promoted</v>
      </c>
    </row>
    <row r="9" spans="1:11">
      <c r="A9" s="2">
        <v>8</v>
      </c>
      <c r="B9" s="2" t="s">
        <v>61</v>
      </c>
      <c r="C9" s="2" t="s">
        <v>55</v>
      </c>
      <c r="D9" s="2" t="s">
        <v>53</v>
      </c>
      <c r="E9" s="2">
        <v>3</v>
      </c>
      <c r="F9" s="2">
        <v>18</v>
      </c>
      <c r="G9">
        <v>44</v>
      </c>
      <c r="H9">
        <f t="shared" si="2"/>
        <v>65</v>
      </c>
      <c r="I9" t="str" cm="1">
        <f t="array" ref="I9">_xlfn.IFS(H9&gt;=75,"A", H9&gt;=65,"B", H9&gt;=55,"B",H9&gt;=45,"C",H9&lt;=45,"F")</f>
        <v>B</v>
      </c>
      <c r="J9" t="str">
        <f t="shared" si="0"/>
        <v>repeat</v>
      </c>
      <c r="K9" t="str">
        <f t="shared" si="1"/>
        <v>Promoted</v>
      </c>
    </row>
    <row r="10" spans="1:11">
      <c r="A10" s="2">
        <v>9</v>
      </c>
      <c r="B10" s="2" t="s">
        <v>62</v>
      </c>
      <c r="C10" s="2" t="s">
        <v>52</v>
      </c>
      <c r="D10" s="2" t="s">
        <v>53</v>
      </c>
      <c r="E10" s="2">
        <v>1</v>
      </c>
      <c r="F10" s="2">
        <v>2</v>
      </c>
      <c r="G10">
        <v>43</v>
      </c>
      <c r="H10">
        <f t="shared" si="2"/>
        <v>46</v>
      </c>
      <c r="I10" t="str" cm="1">
        <f t="array" ref="I10">_xlfn.IFS(H10&gt;=75,"A", H10&gt;=65,"B", H10&gt;=55,"B",H10&gt;=45,"C",H10&lt;=45,"F")</f>
        <v>C</v>
      </c>
      <c r="J10" t="str">
        <f t="shared" si="0"/>
        <v>Promoted</v>
      </c>
      <c r="K10" t="str">
        <f t="shared" si="1"/>
        <v>Promoted</v>
      </c>
    </row>
    <row r="11" spans="1:11">
      <c r="A11" s="2">
        <v>10</v>
      </c>
      <c r="B11" s="2" t="s">
        <v>63</v>
      </c>
      <c r="C11" s="2" t="s">
        <v>52</v>
      </c>
      <c r="D11" s="2" t="s">
        <v>53</v>
      </c>
      <c r="E11" s="2">
        <v>5</v>
      </c>
      <c r="F11" s="2">
        <v>17</v>
      </c>
      <c r="G11">
        <v>36</v>
      </c>
      <c r="H11">
        <f t="shared" si="2"/>
        <v>58</v>
      </c>
      <c r="I11" t="str" cm="1">
        <f t="array" ref="I11">_xlfn.IFS(H11&gt;=75,"A", H11&gt;=65,"B", H11&gt;=55,"B",H11&gt;=45,"C",H11&lt;=45,"F")</f>
        <v>B</v>
      </c>
      <c r="J11" t="str">
        <f t="shared" si="0"/>
        <v>Promoted</v>
      </c>
      <c r="K11" t="str">
        <f t="shared" si="1"/>
        <v>Promoted</v>
      </c>
    </row>
    <row r="12" spans="1:11">
      <c r="A12" s="2">
        <v>11</v>
      </c>
      <c r="B12" s="2" t="s">
        <v>64</v>
      </c>
      <c r="C12" s="2" t="s">
        <v>55</v>
      </c>
      <c r="D12" s="2" t="s">
        <v>53</v>
      </c>
      <c r="E12" s="2">
        <v>5</v>
      </c>
      <c r="F12" s="2">
        <v>9</v>
      </c>
      <c r="G12">
        <v>44</v>
      </c>
      <c r="H12">
        <f t="shared" si="2"/>
        <v>58</v>
      </c>
      <c r="I12" t="str" cm="1">
        <f t="array" ref="I12">_xlfn.IFS(H12&gt;=75,"A", H12&gt;=65,"B", H12&gt;=55,"B",H12&gt;=45,"C",H12&lt;=45,"F")</f>
        <v>B</v>
      </c>
      <c r="J12" t="str">
        <f t="shared" si="0"/>
        <v>repeat</v>
      </c>
      <c r="K12" t="str">
        <f t="shared" si="1"/>
        <v>Promoted</v>
      </c>
    </row>
    <row r="13" spans="1:11">
      <c r="A13" s="2">
        <v>12</v>
      </c>
      <c r="B13" s="2" t="s">
        <v>65</v>
      </c>
      <c r="C13" s="2" t="s">
        <v>55</v>
      </c>
      <c r="D13" s="2" t="s">
        <v>53</v>
      </c>
      <c r="E13" s="2">
        <v>7</v>
      </c>
      <c r="F13" s="2">
        <v>15</v>
      </c>
      <c r="G13">
        <v>33</v>
      </c>
      <c r="H13">
        <f t="shared" si="2"/>
        <v>55</v>
      </c>
      <c r="I13" t="str" cm="1">
        <f t="array" ref="I13">_xlfn.IFS(H13&gt;=75,"A", H13&gt;=65,"B", H13&gt;=55,"B",H13&gt;=45,"C",H13&lt;=45,"F")</f>
        <v>B</v>
      </c>
      <c r="J13" t="str">
        <f t="shared" si="0"/>
        <v>repeat</v>
      </c>
      <c r="K13" t="str">
        <f t="shared" si="1"/>
        <v>Promoted</v>
      </c>
    </row>
    <row r="14" spans="1:11">
      <c r="A14" s="2">
        <v>13</v>
      </c>
      <c r="B14" s="2" t="s">
        <v>66</v>
      </c>
      <c r="C14" s="2" t="s">
        <v>52</v>
      </c>
      <c r="D14" s="2" t="s">
        <v>53</v>
      </c>
      <c r="E14" s="2">
        <v>6</v>
      </c>
      <c r="F14" s="2">
        <v>10</v>
      </c>
      <c r="G14">
        <v>31</v>
      </c>
      <c r="H14">
        <f t="shared" si="2"/>
        <v>47</v>
      </c>
      <c r="I14" t="str" cm="1">
        <f t="array" ref="I14">_xlfn.IFS(H14&gt;=75,"A", H14&gt;=65,"B", H14&gt;=55,"B",H14&gt;=45,"C",H14&lt;=45,"F")</f>
        <v>C</v>
      </c>
      <c r="J14" t="str">
        <f t="shared" si="0"/>
        <v>Promoted</v>
      </c>
      <c r="K14" t="str">
        <f t="shared" si="1"/>
        <v>Promoted</v>
      </c>
    </row>
    <row r="15" spans="1:11">
      <c r="A15" s="2">
        <v>14</v>
      </c>
      <c r="B15" s="2" t="s">
        <v>56</v>
      </c>
      <c r="C15" s="2" t="s">
        <v>55</v>
      </c>
      <c r="D15" s="2" t="s">
        <v>53</v>
      </c>
      <c r="E15" s="2">
        <v>8</v>
      </c>
      <c r="F15" s="2">
        <v>9</v>
      </c>
      <c r="G15">
        <v>50</v>
      </c>
      <c r="H15">
        <f t="shared" si="2"/>
        <v>67</v>
      </c>
      <c r="I15" t="str" cm="1">
        <f t="array" ref="I15">_xlfn.IFS(H15&gt;=75,"A", H15&gt;=65,"B", H15&gt;=55,"B",H15&gt;=45,"C",H15&lt;=45,"F")</f>
        <v>B</v>
      </c>
      <c r="J15" t="str">
        <f t="shared" si="0"/>
        <v>repeat</v>
      </c>
      <c r="K15" t="str">
        <f t="shared" si="1"/>
        <v>Promoted</v>
      </c>
    </row>
    <row r="16" spans="1:11">
      <c r="A16" s="2">
        <v>15</v>
      </c>
      <c r="B16" s="2" t="s">
        <v>67</v>
      </c>
      <c r="C16" s="2" t="s">
        <v>52</v>
      </c>
      <c r="D16" s="2" t="s">
        <v>53</v>
      </c>
      <c r="E16" s="2">
        <v>4</v>
      </c>
      <c r="F16" s="2">
        <v>9</v>
      </c>
      <c r="G16">
        <v>42</v>
      </c>
      <c r="H16">
        <f t="shared" si="2"/>
        <v>55</v>
      </c>
      <c r="I16" t="str" cm="1">
        <f t="array" ref="I16">_xlfn.IFS(H16&gt;=75,"A", H16&gt;=65,"B", H16&gt;=55,"B",H16&gt;=45,"C",H16&lt;=45,"F")</f>
        <v>B</v>
      </c>
      <c r="J16" t="str">
        <f t="shared" si="0"/>
        <v>Promoted</v>
      </c>
      <c r="K16" t="str">
        <f t="shared" si="1"/>
        <v>Promoted</v>
      </c>
    </row>
    <row r="17" spans="1:11">
      <c r="A17" s="2">
        <v>16</v>
      </c>
      <c r="B17" s="2" t="s">
        <v>68</v>
      </c>
      <c r="C17" s="2" t="s">
        <v>55</v>
      </c>
      <c r="D17" s="2" t="s">
        <v>69</v>
      </c>
      <c r="E17" s="2">
        <v>6</v>
      </c>
      <c r="F17" s="2">
        <v>15</v>
      </c>
      <c r="G17">
        <v>47</v>
      </c>
      <c r="H17">
        <f t="shared" si="2"/>
        <v>68</v>
      </c>
      <c r="I17" t="str" cm="1">
        <f t="array" ref="I17">_xlfn.IFS(H17&gt;=75,"A", H17&gt;=65,"B", H17&gt;=55,"B",H17&gt;=45,"C",H17&lt;=45,"F")</f>
        <v>B</v>
      </c>
      <c r="J17" t="str">
        <f t="shared" si="0"/>
        <v>repeat</v>
      </c>
      <c r="K17" t="str">
        <f t="shared" si="1"/>
        <v>repeat</v>
      </c>
    </row>
    <row r="18" spans="1:11">
      <c r="A18" s="2">
        <v>17</v>
      </c>
      <c r="B18" s="2" t="s">
        <v>70</v>
      </c>
      <c r="C18" s="2" t="s">
        <v>52</v>
      </c>
      <c r="D18" s="2" t="s">
        <v>69</v>
      </c>
      <c r="E18" s="2">
        <v>5</v>
      </c>
      <c r="F18" s="2">
        <v>1</v>
      </c>
      <c r="G18">
        <v>31</v>
      </c>
      <c r="H18">
        <f t="shared" si="2"/>
        <v>37</v>
      </c>
      <c r="I18" t="str" cm="1">
        <f t="array" ref="I18">_xlfn.IFS(H18&gt;=75,"A", H18&gt;=65,"B", H18&gt;=55,"B",H18&gt;=45,"C",H18&lt;=45,"F")</f>
        <v>F</v>
      </c>
      <c r="J18" t="str">
        <f t="shared" si="0"/>
        <v>repeat</v>
      </c>
      <c r="K18" t="str">
        <f t="shared" si="1"/>
        <v>Promoted</v>
      </c>
    </row>
    <row r="19" spans="1:11">
      <c r="A19" s="2">
        <v>18</v>
      </c>
      <c r="B19" s="2" t="s">
        <v>71</v>
      </c>
      <c r="C19" s="2" t="s">
        <v>52</v>
      </c>
      <c r="D19" s="2" t="s">
        <v>69</v>
      </c>
      <c r="E19" s="2">
        <v>3</v>
      </c>
      <c r="F19" s="2">
        <v>12</v>
      </c>
      <c r="G19">
        <v>32</v>
      </c>
      <c r="H19">
        <f t="shared" si="2"/>
        <v>47</v>
      </c>
      <c r="I19" t="str" cm="1">
        <f t="array" ref="I19">_xlfn.IFS(H19&gt;=75,"A", H19&gt;=65,"B", H19&gt;=55,"B",H19&gt;=45,"C",H19&lt;=45,"F")</f>
        <v>C</v>
      </c>
      <c r="J19" t="str">
        <f t="shared" si="0"/>
        <v>repeat</v>
      </c>
      <c r="K19" t="str">
        <f t="shared" si="1"/>
        <v>Promoted</v>
      </c>
    </row>
    <row r="20" spans="1:11">
      <c r="A20" s="2">
        <v>19</v>
      </c>
      <c r="B20" s="2" t="s">
        <v>72</v>
      </c>
      <c r="C20" s="2" t="s">
        <v>52</v>
      </c>
      <c r="D20" s="2" t="s">
        <v>69</v>
      </c>
      <c r="E20" s="2">
        <v>7</v>
      </c>
      <c r="F20" s="2">
        <v>11</v>
      </c>
      <c r="G20">
        <v>42</v>
      </c>
      <c r="H20">
        <f t="shared" si="2"/>
        <v>60</v>
      </c>
      <c r="I20" t="str" cm="1">
        <f t="array" ref="I20">_xlfn.IFS(H20&gt;=75,"A", H20&gt;=65,"B", H20&gt;=55,"B",H20&gt;=45,"C",H20&lt;=45,"F")</f>
        <v>B</v>
      </c>
      <c r="J20" t="str">
        <f t="shared" si="0"/>
        <v>repeat</v>
      </c>
      <c r="K20" t="str">
        <f t="shared" si="1"/>
        <v>Promoted</v>
      </c>
    </row>
    <row r="21" spans="1:11">
      <c r="A21" s="2">
        <v>20</v>
      </c>
      <c r="B21" s="2" t="s">
        <v>73</v>
      </c>
      <c r="C21" s="2" t="s">
        <v>52</v>
      </c>
      <c r="D21" s="2" t="s">
        <v>69</v>
      </c>
      <c r="E21" s="2">
        <v>6</v>
      </c>
      <c r="F21" s="2">
        <v>7</v>
      </c>
      <c r="G21">
        <v>51</v>
      </c>
      <c r="H21">
        <f t="shared" si="2"/>
        <v>64</v>
      </c>
      <c r="I21" t="str" cm="1">
        <f t="array" ref="I21">_xlfn.IFS(H21&gt;=75,"A", H21&gt;=65,"B", H21&gt;=55,"B",H21&gt;=45,"C",H21&lt;=45,"F")</f>
        <v>B</v>
      </c>
      <c r="J21" t="str">
        <f t="shared" si="0"/>
        <v>repeat</v>
      </c>
      <c r="K21" t="str">
        <f t="shared" si="1"/>
        <v>Promoted</v>
      </c>
    </row>
    <row r="22" spans="1:11">
      <c r="A22" s="2">
        <v>21</v>
      </c>
      <c r="B22" s="2" t="s">
        <v>74</v>
      </c>
      <c r="C22" s="2" t="s">
        <v>55</v>
      </c>
      <c r="D22" s="2" t="s">
        <v>69</v>
      </c>
      <c r="E22" s="2">
        <v>6</v>
      </c>
      <c r="F22" s="2">
        <v>20</v>
      </c>
      <c r="G22">
        <v>41</v>
      </c>
      <c r="H22">
        <f t="shared" si="2"/>
        <v>67</v>
      </c>
      <c r="I22" t="str" cm="1">
        <f t="array" ref="I22">_xlfn.IFS(H22&gt;=75,"A", H22&gt;=65,"B", H22&gt;=55,"B",H22&gt;=45,"C",H22&lt;=45,"F")</f>
        <v>B</v>
      </c>
      <c r="J22" t="str">
        <f t="shared" si="0"/>
        <v>repeat</v>
      </c>
      <c r="K22" t="str">
        <f t="shared" si="1"/>
        <v>repeat</v>
      </c>
    </row>
    <row r="23" spans="1:11">
      <c r="A23" s="2">
        <v>22</v>
      </c>
      <c r="B23" s="2" t="s">
        <v>75</v>
      </c>
      <c r="C23" s="2" t="s">
        <v>55</v>
      </c>
      <c r="D23" s="2" t="s">
        <v>69</v>
      </c>
      <c r="E23" s="2">
        <v>8</v>
      </c>
      <c r="F23" s="2">
        <v>8</v>
      </c>
      <c r="G23">
        <v>52</v>
      </c>
      <c r="H23">
        <f t="shared" si="2"/>
        <v>68</v>
      </c>
      <c r="I23" t="str" cm="1">
        <f t="array" ref="I23">_xlfn.IFS(H23&gt;=75,"A", H23&gt;=65,"B", H23&gt;=55,"B",H23&gt;=45,"C",H23&lt;=45,"F")</f>
        <v>B</v>
      </c>
      <c r="J23" t="str">
        <f t="shared" si="0"/>
        <v>repeat</v>
      </c>
      <c r="K23" t="str">
        <f t="shared" si="1"/>
        <v>repeat</v>
      </c>
    </row>
    <row r="24" spans="1:11">
      <c r="A24" s="2">
        <v>23</v>
      </c>
      <c r="B24" s="2" t="s">
        <v>76</v>
      </c>
      <c r="C24" s="2" t="s">
        <v>55</v>
      </c>
      <c r="D24" s="2" t="s">
        <v>69</v>
      </c>
      <c r="E24" s="2">
        <v>6</v>
      </c>
      <c r="F24" s="2">
        <v>7</v>
      </c>
      <c r="G24">
        <v>36</v>
      </c>
      <c r="H24">
        <f t="shared" si="2"/>
        <v>49</v>
      </c>
      <c r="I24" t="str" cm="1">
        <f t="array" ref="I24">_xlfn.IFS(H24&gt;=75,"A", H24&gt;=65,"B", H24&gt;=55,"B",H24&gt;=45,"C",H24&lt;=45,"F")</f>
        <v>C</v>
      </c>
      <c r="J24" t="str">
        <f t="shared" si="0"/>
        <v>repeat</v>
      </c>
      <c r="K24" t="str">
        <f t="shared" si="1"/>
        <v>repeat</v>
      </c>
    </row>
    <row r="25" spans="1:11">
      <c r="A25" s="2">
        <v>24</v>
      </c>
      <c r="B25" s="2" t="s">
        <v>77</v>
      </c>
      <c r="C25" s="2" t="s">
        <v>55</v>
      </c>
      <c r="D25" s="2" t="s">
        <v>69</v>
      </c>
      <c r="E25" s="2">
        <v>2</v>
      </c>
      <c r="F25" s="2">
        <v>20</v>
      </c>
      <c r="G25">
        <v>42</v>
      </c>
      <c r="H25">
        <f t="shared" si="2"/>
        <v>64</v>
      </c>
      <c r="I25" t="str" cm="1">
        <f t="array" ref="I25">_xlfn.IFS(H25&gt;=75,"A", H25&gt;=65,"B", H25&gt;=55,"B",H25&gt;=45,"C",H25&lt;=45,"F")</f>
        <v>B</v>
      </c>
      <c r="J25" t="str">
        <f t="shared" si="0"/>
        <v>repeat</v>
      </c>
      <c r="K25" t="str">
        <f t="shared" si="1"/>
        <v>repeat</v>
      </c>
    </row>
    <row r="26" spans="1:11">
      <c r="A26" s="2">
        <v>25</v>
      </c>
      <c r="B26" s="2" t="s">
        <v>78</v>
      </c>
      <c r="C26" s="2" t="s">
        <v>52</v>
      </c>
      <c r="D26" s="2" t="s">
        <v>69</v>
      </c>
      <c r="E26" s="2">
        <v>9</v>
      </c>
      <c r="F26" s="2">
        <v>5</v>
      </c>
      <c r="G26">
        <v>34</v>
      </c>
      <c r="H26">
        <f t="shared" si="2"/>
        <v>48</v>
      </c>
      <c r="I26" t="str" cm="1">
        <f t="array" ref="I26">_xlfn.IFS(H26&gt;=75,"A", H26&gt;=65,"B", H26&gt;=55,"B",H26&gt;=45,"C",H26&lt;=45,"F")</f>
        <v>C</v>
      </c>
      <c r="J26" t="str">
        <f t="shared" si="0"/>
        <v>repeat</v>
      </c>
      <c r="K26" t="str">
        <f t="shared" si="1"/>
        <v>Promoted</v>
      </c>
    </row>
    <row r="27" spans="1:11">
      <c r="A27" s="2">
        <v>26</v>
      </c>
      <c r="B27" s="2" t="s">
        <v>79</v>
      </c>
      <c r="C27" s="2" t="s">
        <v>52</v>
      </c>
      <c r="D27" s="2" t="s">
        <v>69</v>
      </c>
      <c r="E27" s="2">
        <v>8</v>
      </c>
      <c r="F27" s="2">
        <v>12</v>
      </c>
      <c r="G27">
        <v>47</v>
      </c>
      <c r="H27">
        <f t="shared" si="2"/>
        <v>67</v>
      </c>
      <c r="I27" t="str" cm="1">
        <f t="array" ref="I27">_xlfn.IFS(H27&gt;=75,"A", H27&gt;=65,"B", H27&gt;=55,"B",H27&gt;=45,"C",H27&lt;=45,"F")</f>
        <v>B</v>
      </c>
      <c r="J27" t="str">
        <f t="shared" si="0"/>
        <v>repeat</v>
      </c>
      <c r="K27" t="str">
        <f t="shared" si="1"/>
        <v>Promoted</v>
      </c>
    </row>
    <row r="28" spans="1:11">
      <c r="A28" s="2">
        <v>27</v>
      </c>
      <c r="B28" s="2" t="s">
        <v>80</v>
      </c>
      <c r="C28" s="2" t="s">
        <v>52</v>
      </c>
      <c r="D28" s="2" t="s">
        <v>69</v>
      </c>
      <c r="E28" s="2">
        <v>10</v>
      </c>
      <c r="F28" s="2">
        <v>18</v>
      </c>
      <c r="G28">
        <v>31</v>
      </c>
      <c r="H28">
        <f t="shared" si="2"/>
        <v>59</v>
      </c>
      <c r="I28" t="str" cm="1">
        <f t="array" ref="I28">_xlfn.IFS(H28&gt;=75,"A", H28&gt;=65,"B", H28&gt;=55,"B",H28&gt;=45,"C",H28&lt;=45,"F")</f>
        <v>B</v>
      </c>
      <c r="J28" t="str">
        <f t="shared" si="0"/>
        <v>repeat</v>
      </c>
      <c r="K28" t="str">
        <f t="shared" si="1"/>
        <v>Promoted</v>
      </c>
    </row>
    <row r="29" spans="1:11">
      <c r="A29" s="2">
        <v>28</v>
      </c>
      <c r="B29" s="2" t="s">
        <v>81</v>
      </c>
      <c r="C29" s="2" t="s">
        <v>55</v>
      </c>
      <c r="D29" s="2" t="s">
        <v>69</v>
      </c>
      <c r="E29" s="2">
        <v>6</v>
      </c>
      <c r="F29" s="2">
        <v>12</v>
      </c>
      <c r="G29">
        <v>55</v>
      </c>
      <c r="H29">
        <f t="shared" si="2"/>
        <v>73</v>
      </c>
      <c r="I29" t="str" cm="1">
        <f t="array" ref="I29">_xlfn.IFS(H29&gt;=75,"A", H29&gt;=65,"B", H29&gt;=55,"B",H29&gt;=45,"C",H29&lt;=45,"F")</f>
        <v>B</v>
      </c>
      <c r="J29" t="str">
        <f t="shared" si="0"/>
        <v>repeat</v>
      </c>
      <c r="K29" t="str">
        <f t="shared" si="1"/>
        <v>repeat</v>
      </c>
    </row>
    <row r="30" spans="1:11">
      <c r="A30" s="2">
        <v>29</v>
      </c>
      <c r="B30" s="2" t="s">
        <v>82</v>
      </c>
      <c r="C30" s="2" t="s">
        <v>55</v>
      </c>
      <c r="D30" s="2" t="s">
        <v>69</v>
      </c>
      <c r="E30" s="2">
        <v>7</v>
      </c>
      <c r="F30" s="2">
        <v>5</v>
      </c>
      <c r="G30">
        <v>44</v>
      </c>
      <c r="H30">
        <f t="shared" si="2"/>
        <v>56</v>
      </c>
      <c r="I30" t="str" cm="1">
        <f t="array" ref="I30">_xlfn.IFS(H30&gt;=75,"A", H30&gt;=65,"B", H30&gt;=55,"B",H30&gt;=45,"C",H30&lt;=45,"F")</f>
        <v>B</v>
      </c>
      <c r="J30" t="str">
        <f t="shared" si="0"/>
        <v>repeat</v>
      </c>
      <c r="K30" t="str">
        <f t="shared" si="1"/>
        <v>repeat</v>
      </c>
    </row>
    <row r="31" spans="1:11">
      <c r="A31" s="2">
        <v>30</v>
      </c>
      <c r="B31" s="2" t="s">
        <v>83</v>
      </c>
      <c r="C31" s="2" t="s">
        <v>52</v>
      </c>
      <c r="D31" s="2" t="s">
        <v>69</v>
      </c>
      <c r="E31" s="2">
        <v>10</v>
      </c>
      <c r="F31" s="2">
        <v>1</v>
      </c>
      <c r="G31">
        <v>35</v>
      </c>
      <c r="H31">
        <f t="shared" si="2"/>
        <v>46</v>
      </c>
      <c r="I31" t="str" cm="1">
        <f t="array" ref="I31">_xlfn.IFS(H31&gt;=75,"A", H31&gt;=65,"B", H31&gt;=55,"B",H31&gt;=45,"C",H31&lt;=45,"F")</f>
        <v>C</v>
      </c>
      <c r="J31" t="str">
        <f t="shared" si="0"/>
        <v>repeat</v>
      </c>
      <c r="K31" t="str">
        <f t="shared" si="1"/>
        <v>Promoted</v>
      </c>
    </row>
    <row r="32" spans="1:11">
      <c r="A32" s="2">
        <v>31</v>
      </c>
      <c r="B32" s="2" t="s">
        <v>84</v>
      </c>
      <c r="C32" s="2" t="s">
        <v>55</v>
      </c>
      <c r="D32" s="2" t="s">
        <v>69</v>
      </c>
      <c r="E32" s="2">
        <v>1</v>
      </c>
      <c r="F32" s="2">
        <v>6</v>
      </c>
      <c r="G32">
        <v>30</v>
      </c>
      <c r="H32">
        <f t="shared" si="2"/>
        <v>37</v>
      </c>
      <c r="I32" t="str" cm="1">
        <f t="array" ref="I32">_xlfn.IFS(H32&gt;=75,"A", H32&gt;=65,"B", H32&gt;=55,"B",H32&gt;=45,"C",H32&lt;=45,"F")</f>
        <v>F</v>
      </c>
      <c r="J32" t="str">
        <f t="shared" si="0"/>
        <v>repeat</v>
      </c>
      <c r="K32" t="str">
        <f t="shared" si="1"/>
        <v>repeat</v>
      </c>
    </row>
    <row r="33" spans="1:11">
      <c r="A33" s="2">
        <v>32</v>
      </c>
      <c r="B33" s="2" t="s">
        <v>85</v>
      </c>
      <c r="C33" s="2" t="s">
        <v>52</v>
      </c>
      <c r="D33" s="2" t="s">
        <v>69</v>
      </c>
      <c r="E33" s="2">
        <v>8</v>
      </c>
      <c r="F33" s="2">
        <v>19</v>
      </c>
      <c r="G33">
        <v>39</v>
      </c>
      <c r="H33">
        <f t="shared" si="2"/>
        <v>66</v>
      </c>
      <c r="I33" t="str" cm="1">
        <f t="array" ref="I33">_xlfn.IFS(H33&gt;=75,"A", H33&gt;=65,"B", H33&gt;=55,"B",H33&gt;=45,"C",H33&lt;=45,"F")</f>
        <v>B</v>
      </c>
      <c r="J33" t="str">
        <f t="shared" si="0"/>
        <v>repeat</v>
      </c>
      <c r="K33" t="str">
        <f t="shared" si="1"/>
        <v>Promoted</v>
      </c>
    </row>
    <row r="34" spans="1:11">
      <c r="A34" s="2">
        <v>33</v>
      </c>
      <c r="B34" s="2" t="s">
        <v>86</v>
      </c>
      <c r="C34" s="2" t="s">
        <v>52</v>
      </c>
      <c r="D34" s="2" t="s">
        <v>69</v>
      </c>
      <c r="E34" s="2">
        <v>6</v>
      </c>
      <c r="F34" s="2">
        <v>11</v>
      </c>
      <c r="G34">
        <v>55</v>
      </c>
      <c r="H34">
        <f t="shared" si="2"/>
        <v>72</v>
      </c>
      <c r="I34" t="str" cm="1">
        <f t="array" ref="I34">_xlfn.IFS(H34&gt;=75,"A", H34&gt;=65,"B", H34&gt;=55,"B",H34&gt;=45,"C",H34&lt;=45,"F")</f>
        <v>B</v>
      </c>
      <c r="J34" t="str">
        <f t="shared" si="0"/>
        <v>repeat</v>
      </c>
      <c r="K34" t="str">
        <f t="shared" si="1"/>
        <v>Promoted</v>
      </c>
    </row>
    <row r="35" spans="1:11">
      <c r="A35" s="2">
        <v>34</v>
      </c>
      <c r="B35" s="2" t="s">
        <v>87</v>
      </c>
      <c r="C35" s="2" t="s">
        <v>52</v>
      </c>
      <c r="D35" s="2" t="s">
        <v>69</v>
      </c>
      <c r="E35" s="2">
        <v>10</v>
      </c>
      <c r="F35" s="2">
        <v>2</v>
      </c>
      <c r="G35">
        <v>49</v>
      </c>
      <c r="H35">
        <f t="shared" si="2"/>
        <v>61</v>
      </c>
      <c r="I35" t="str" cm="1">
        <f t="array" ref="I35">_xlfn.IFS(H35&gt;=75,"A", H35&gt;=65,"B", H35&gt;=55,"B",H35&gt;=45,"C",H35&lt;=45,"F")</f>
        <v>B</v>
      </c>
      <c r="J35" t="str">
        <f t="shared" si="0"/>
        <v>repeat</v>
      </c>
      <c r="K35" t="str">
        <f t="shared" si="1"/>
        <v>Promoted</v>
      </c>
    </row>
    <row r="36" spans="1:11">
      <c r="A36" s="2">
        <v>35</v>
      </c>
      <c r="B36" s="2" t="s">
        <v>88</v>
      </c>
      <c r="C36" s="2" t="s">
        <v>52</v>
      </c>
      <c r="D36" s="2" t="s">
        <v>69</v>
      </c>
      <c r="E36" s="2">
        <v>1</v>
      </c>
      <c r="F36" s="2">
        <v>20</v>
      </c>
      <c r="G36">
        <v>42</v>
      </c>
      <c r="H36">
        <f t="shared" si="2"/>
        <v>63</v>
      </c>
      <c r="I36" t="str" cm="1">
        <f t="array" ref="I36">_xlfn.IFS(H36&gt;=75,"A", H36&gt;=65,"B", H36&gt;=55,"B",H36&gt;=45,"C",H36&lt;=45,"F")</f>
        <v>B</v>
      </c>
      <c r="J36" t="str">
        <f t="shared" si="0"/>
        <v>repeat</v>
      </c>
      <c r="K36" t="str">
        <f t="shared" si="1"/>
        <v>Promoted</v>
      </c>
    </row>
    <row r="37" spans="1:11">
      <c r="A37" s="2">
        <v>36</v>
      </c>
      <c r="B37" s="2" t="s">
        <v>89</v>
      </c>
      <c r="C37" s="2" t="s">
        <v>52</v>
      </c>
      <c r="D37" s="2" t="s">
        <v>69</v>
      </c>
      <c r="E37" s="2">
        <v>3</v>
      </c>
      <c r="F37" s="2">
        <v>18</v>
      </c>
      <c r="G37">
        <v>35</v>
      </c>
      <c r="H37">
        <f t="shared" si="2"/>
        <v>56</v>
      </c>
      <c r="I37" t="str" cm="1">
        <f t="array" ref="I37">_xlfn.IFS(H37&gt;=75,"A", H37&gt;=65,"B", H37&gt;=55,"B",H37&gt;=45,"C",H37&lt;=45,"F")</f>
        <v>B</v>
      </c>
      <c r="J37" t="str">
        <f t="shared" si="0"/>
        <v>repeat</v>
      </c>
      <c r="K37" t="str">
        <f t="shared" si="1"/>
        <v>Promoted</v>
      </c>
    </row>
    <row r="38" spans="1:11">
      <c r="A38" s="2">
        <v>37</v>
      </c>
      <c r="B38" s="2" t="s">
        <v>90</v>
      </c>
      <c r="C38" s="2" t="s">
        <v>55</v>
      </c>
      <c r="D38" s="2" t="s">
        <v>69</v>
      </c>
      <c r="E38" s="2">
        <v>7</v>
      </c>
      <c r="F38" s="2">
        <v>5</v>
      </c>
      <c r="G38">
        <v>37</v>
      </c>
      <c r="H38">
        <f t="shared" si="2"/>
        <v>49</v>
      </c>
      <c r="I38" t="str" cm="1">
        <f t="array" ref="I38">_xlfn.IFS(H38&gt;=75,"A", H38&gt;=65,"B", H38&gt;=55,"B",H38&gt;=45,"C",H38&lt;=45,"F")</f>
        <v>C</v>
      </c>
      <c r="J38" t="str">
        <f t="shared" si="0"/>
        <v>repeat</v>
      </c>
      <c r="K38" t="str">
        <f t="shared" si="1"/>
        <v>repeat</v>
      </c>
    </row>
    <row r="39" spans="1:11">
      <c r="A39" s="2">
        <v>38</v>
      </c>
      <c r="B39" s="2" t="s">
        <v>91</v>
      </c>
      <c r="C39" s="2" t="s">
        <v>52</v>
      </c>
      <c r="D39" s="2" t="s">
        <v>69</v>
      </c>
      <c r="E39" s="2">
        <v>7</v>
      </c>
      <c r="F39" s="2">
        <v>3</v>
      </c>
      <c r="G39">
        <v>31</v>
      </c>
      <c r="H39">
        <f t="shared" si="2"/>
        <v>41</v>
      </c>
      <c r="I39" t="str" cm="1">
        <f t="array" ref="I39">_xlfn.IFS(H39&gt;=75,"A", H39&gt;=65,"B", H39&gt;=55,"B",H39&gt;=45,"C",H39&lt;=45,"F")</f>
        <v>F</v>
      </c>
      <c r="J39" t="str">
        <f t="shared" si="0"/>
        <v>repeat</v>
      </c>
      <c r="K39" t="str">
        <f t="shared" si="1"/>
        <v>Promoted</v>
      </c>
    </row>
    <row r="40" spans="1:11">
      <c r="A40" s="2">
        <v>39</v>
      </c>
      <c r="B40" s="2" t="s">
        <v>92</v>
      </c>
      <c r="C40" s="2" t="s">
        <v>52</v>
      </c>
      <c r="D40" s="2" t="s">
        <v>69</v>
      </c>
      <c r="E40" s="2">
        <v>5</v>
      </c>
      <c r="F40" s="2">
        <v>4</v>
      </c>
      <c r="G40">
        <v>46</v>
      </c>
      <c r="H40">
        <f t="shared" si="2"/>
        <v>55</v>
      </c>
      <c r="I40" t="str" cm="1">
        <f t="array" ref="I40">_xlfn.IFS(H40&gt;=75,"A", H40&gt;=65,"B", H40&gt;=55,"B",H40&gt;=45,"C",H40&lt;=45,"F")</f>
        <v>B</v>
      </c>
      <c r="J40" t="str">
        <f t="shared" si="0"/>
        <v>repeat</v>
      </c>
      <c r="K40" t="str">
        <f t="shared" si="1"/>
        <v>Promoted</v>
      </c>
    </row>
    <row r="41" spans="1:11">
      <c r="A41" s="2">
        <v>40</v>
      </c>
      <c r="B41" s="2" t="s">
        <v>93</v>
      </c>
      <c r="C41" s="2" t="s">
        <v>55</v>
      </c>
      <c r="D41" s="2" t="s">
        <v>69</v>
      </c>
      <c r="E41" s="2">
        <v>9</v>
      </c>
      <c r="F41" s="2">
        <v>7</v>
      </c>
      <c r="G41">
        <v>51</v>
      </c>
      <c r="H41">
        <f t="shared" si="2"/>
        <v>67</v>
      </c>
      <c r="I41" t="str" cm="1">
        <f t="array" ref="I41">_xlfn.IFS(H41&gt;=75,"A", H41&gt;=65,"B", H41&gt;=55,"B",H41&gt;=45,"C",H41&lt;=45,"F")</f>
        <v>B</v>
      </c>
      <c r="J41" t="str">
        <f t="shared" si="0"/>
        <v>repeat</v>
      </c>
      <c r="K41" t="str">
        <f t="shared" si="1"/>
        <v>repeat</v>
      </c>
    </row>
    <row r="42" spans="1:11">
      <c r="A42" s="2">
        <v>41</v>
      </c>
      <c r="B42" s="2" t="s">
        <v>94</v>
      </c>
      <c r="C42" s="2" t="s">
        <v>52</v>
      </c>
      <c r="D42" s="2" t="s">
        <v>95</v>
      </c>
      <c r="E42" s="2">
        <v>2</v>
      </c>
      <c r="F42" s="2">
        <v>11</v>
      </c>
      <c r="G42">
        <v>55</v>
      </c>
      <c r="H42">
        <f t="shared" si="2"/>
        <v>68</v>
      </c>
      <c r="I42" t="str" cm="1">
        <f t="array" ref="I42">_xlfn.IFS(H42&gt;=75,"A", H42&gt;=65,"B", H42&gt;=55,"B",H42&gt;=45,"C",H42&lt;=45,"F")</f>
        <v>B</v>
      </c>
      <c r="J42" t="str">
        <f t="shared" si="0"/>
        <v>repeat</v>
      </c>
      <c r="K42" t="str">
        <f t="shared" si="1"/>
        <v>Promoted</v>
      </c>
    </row>
    <row r="43" spans="1:11">
      <c r="A43" s="2">
        <v>42</v>
      </c>
      <c r="B43" s="2" t="s">
        <v>96</v>
      </c>
      <c r="C43" s="2" t="s">
        <v>55</v>
      </c>
      <c r="D43" s="2" t="s">
        <v>95</v>
      </c>
      <c r="E43" s="2">
        <v>6</v>
      </c>
      <c r="F43" s="2">
        <v>13</v>
      </c>
      <c r="G43">
        <v>35</v>
      </c>
      <c r="H43">
        <f t="shared" si="2"/>
        <v>54</v>
      </c>
      <c r="I43" t="str" cm="1">
        <f t="array" ref="I43">_xlfn.IFS(H43&gt;=75,"A", H43&gt;=65,"B", H43&gt;=55,"B",H43&gt;=45,"C",H43&lt;=45,"F")</f>
        <v>C</v>
      </c>
      <c r="J43" t="str">
        <f t="shared" si="0"/>
        <v>repeat</v>
      </c>
      <c r="K43" t="str">
        <f t="shared" si="1"/>
        <v>repeat</v>
      </c>
    </row>
    <row r="44" spans="1:11">
      <c r="A44" s="2">
        <v>43</v>
      </c>
      <c r="B44" s="2" t="s">
        <v>97</v>
      </c>
      <c r="C44" s="2" t="s">
        <v>55</v>
      </c>
      <c r="D44" s="2" t="s">
        <v>95</v>
      </c>
      <c r="E44" s="2">
        <v>9</v>
      </c>
      <c r="F44" s="2">
        <v>10</v>
      </c>
      <c r="G44">
        <v>35</v>
      </c>
      <c r="H44">
        <f t="shared" si="2"/>
        <v>54</v>
      </c>
      <c r="I44" t="str" cm="1">
        <f t="array" ref="I44">_xlfn.IFS(H44&gt;=75,"A", H44&gt;=65,"B", H44&gt;=55,"B",H44&gt;=45,"C",H44&lt;=45,"F")</f>
        <v>C</v>
      </c>
      <c r="J44" t="str">
        <f t="shared" si="0"/>
        <v>repeat</v>
      </c>
      <c r="K44" t="str">
        <f t="shared" si="1"/>
        <v>repeat</v>
      </c>
    </row>
    <row r="45" spans="1:11">
      <c r="A45" s="2">
        <v>44</v>
      </c>
      <c r="B45" s="2" t="s">
        <v>98</v>
      </c>
      <c r="C45" s="2" t="s">
        <v>52</v>
      </c>
      <c r="D45" s="2" t="s">
        <v>95</v>
      </c>
      <c r="E45" s="2">
        <v>1</v>
      </c>
      <c r="F45" s="2">
        <v>19</v>
      </c>
      <c r="G45">
        <v>34</v>
      </c>
      <c r="H45">
        <f t="shared" si="2"/>
        <v>54</v>
      </c>
      <c r="I45" t="str" cm="1">
        <f t="array" ref="I45">_xlfn.IFS(H45&gt;=75,"A", H45&gt;=65,"B", H45&gt;=55,"B",H45&gt;=45,"C",H45&lt;=45,"F")</f>
        <v>C</v>
      </c>
      <c r="J45" t="str">
        <f t="shared" si="0"/>
        <v>repeat</v>
      </c>
      <c r="K45" t="str">
        <f t="shared" si="1"/>
        <v>Promoted</v>
      </c>
    </row>
    <row r="46" spans="1:11">
      <c r="A46" s="2">
        <v>45</v>
      </c>
      <c r="B46" s="2" t="s">
        <v>99</v>
      </c>
      <c r="C46" s="2" t="s">
        <v>52</v>
      </c>
      <c r="D46" s="2" t="s">
        <v>95</v>
      </c>
      <c r="E46" s="2">
        <v>4</v>
      </c>
      <c r="F46" s="2">
        <v>14</v>
      </c>
      <c r="G46">
        <v>45</v>
      </c>
      <c r="H46">
        <f t="shared" si="2"/>
        <v>63</v>
      </c>
      <c r="I46" t="str" cm="1">
        <f t="array" ref="I46">_xlfn.IFS(H46&gt;=75,"A", H46&gt;=65,"B", H46&gt;=55,"B",H46&gt;=45,"C",H46&lt;=45,"F")</f>
        <v>B</v>
      </c>
      <c r="J46" t="str">
        <f t="shared" si="0"/>
        <v>repeat</v>
      </c>
      <c r="K46" t="str">
        <f t="shared" si="1"/>
        <v>Promoted</v>
      </c>
    </row>
    <row r="47" spans="1:11">
      <c r="A47" s="2">
        <v>46</v>
      </c>
      <c r="B47" s="2" t="s">
        <v>100</v>
      </c>
      <c r="C47" s="2" t="s">
        <v>55</v>
      </c>
      <c r="D47" s="2" t="s">
        <v>95</v>
      </c>
      <c r="E47" s="2">
        <v>6</v>
      </c>
      <c r="F47" s="2">
        <v>18</v>
      </c>
      <c r="G47">
        <v>31</v>
      </c>
      <c r="H47">
        <f t="shared" si="2"/>
        <v>55</v>
      </c>
      <c r="I47" t="str" cm="1">
        <f t="array" ref="I47">_xlfn.IFS(H47&gt;=75,"A", H47&gt;=65,"B", H47&gt;=55,"B",H47&gt;=45,"C",H47&lt;=45,"F")</f>
        <v>B</v>
      </c>
      <c r="J47" t="str">
        <f t="shared" si="0"/>
        <v>repeat</v>
      </c>
      <c r="K47" t="str">
        <f t="shared" si="1"/>
        <v>repeat</v>
      </c>
    </row>
    <row r="48" spans="1:11">
      <c r="A48" s="2">
        <v>47</v>
      </c>
      <c r="B48" s="2" t="s">
        <v>101</v>
      </c>
      <c r="C48" s="2" t="s">
        <v>55</v>
      </c>
      <c r="D48" s="2" t="s">
        <v>95</v>
      </c>
      <c r="E48" s="2">
        <v>6</v>
      </c>
      <c r="F48" s="2">
        <v>17</v>
      </c>
      <c r="G48">
        <v>44</v>
      </c>
      <c r="H48">
        <f t="shared" si="2"/>
        <v>67</v>
      </c>
      <c r="I48" t="str" cm="1">
        <f t="array" ref="I48">_xlfn.IFS(H48&gt;=75,"A", H48&gt;=65,"B", H48&gt;=55,"B",H48&gt;=45,"C",H48&lt;=45,"F")</f>
        <v>B</v>
      </c>
      <c r="J48" t="str">
        <f t="shared" si="0"/>
        <v>repeat</v>
      </c>
      <c r="K48" t="str">
        <f t="shared" si="1"/>
        <v>repeat</v>
      </c>
    </row>
    <row r="49" spans="1:11">
      <c r="A49" s="2">
        <v>48</v>
      </c>
      <c r="B49" s="2" t="s">
        <v>102</v>
      </c>
      <c r="C49" s="2" t="s">
        <v>55</v>
      </c>
      <c r="D49" s="2" t="s">
        <v>95</v>
      </c>
      <c r="E49" s="2">
        <v>4</v>
      </c>
      <c r="F49" s="2">
        <v>16</v>
      </c>
      <c r="G49">
        <v>51</v>
      </c>
      <c r="H49">
        <f t="shared" si="2"/>
        <v>71</v>
      </c>
      <c r="I49" t="str" cm="1">
        <f t="array" ref="I49">_xlfn.IFS(H49&gt;=75,"A", H49&gt;=65,"B", H49&gt;=55,"B",H49&gt;=45,"C",H49&lt;=45,"F")</f>
        <v>B</v>
      </c>
      <c r="J49" t="str">
        <f t="shared" si="0"/>
        <v>repeat</v>
      </c>
      <c r="K49" t="str">
        <f t="shared" si="1"/>
        <v>repeat</v>
      </c>
    </row>
    <row r="50" spans="1:11">
      <c r="A50" s="2">
        <v>49</v>
      </c>
      <c r="B50" s="2" t="s">
        <v>103</v>
      </c>
      <c r="C50" s="2" t="s">
        <v>55</v>
      </c>
      <c r="D50" s="2" t="s">
        <v>95</v>
      </c>
      <c r="E50" s="2">
        <v>1</v>
      </c>
      <c r="F50" s="2">
        <v>7</v>
      </c>
      <c r="G50">
        <v>54</v>
      </c>
      <c r="H50">
        <f t="shared" si="2"/>
        <v>62</v>
      </c>
      <c r="I50" t="str" cm="1">
        <f t="array" ref="I50">_xlfn.IFS(H50&gt;=75,"A", H50&gt;=65,"B", H50&gt;=55,"B",H50&gt;=45,"C",H50&lt;=45,"F")</f>
        <v>B</v>
      </c>
      <c r="J50" t="str">
        <f t="shared" si="0"/>
        <v>repeat</v>
      </c>
      <c r="K50" t="str">
        <f t="shared" si="1"/>
        <v>repeat</v>
      </c>
    </row>
    <row r="51" spans="1:11">
      <c r="A51" s="2">
        <v>50</v>
      </c>
      <c r="B51" s="2" t="s">
        <v>104</v>
      </c>
      <c r="C51" s="2" t="s">
        <v>52</v>
      </c>
      <c r="D51" s="2" t="s">
        <v>95</v>
      </c>
      <c r="E51" s="2">
        <v>2</v>
      </c>
      <c r="F51" s="2">
        <v>7</v>
      </c>
      <c r="G51">
        <v>32</v>
      </c>
      <c r="H51">
        <f t="shared" si="2"/>
        <v>41</v>
      </c>
      <c r="I51" t="str" cm="1">
        <f t="array" ref="I51">_xlfn.IFS(H51&gt;=75,"A", H51&gt;=65,"B", H51&gt;=55,"B",H51&gt;=45,"C",H51&lt;=45,"F")</f>
        <v>F</v>
      </c>
      <c r="J51" t="str">
        <f t="shared" si="0"/>
        <v>repeat</v>
      </c>
      <c r="K51" t="str">
        <f t="shared" si="1"/>
        <v>Promoted</v>
      </c>
    </row>
    <row r="52" spans="1:11">
      <c r="A52" s="2">
        <v>51</v>
      </c>
      <c r="B52" s="2" t="s">
        <v>105</v>
      </c>
      <c r="C52" s="2" t="s">
        <v>52</v>
      </c>
      <c r="D52" s="2" t="s">
        <v>95</v>
      </c>
      <c r="E52" s="2">
        <v>2</v>
      </c>
      <c r="F52" s="2">
        <v>19</v>
      </c>
      <c r="G52">
        <v>42</v>
      </c>
      <c r="H52">
        <f t="shared" si="2"/>
        <v>63</v>
      </c>
      <c r="I52" t="str" cm="1">
        <f t="array" ref="I52">_xlfn.IFS(H52&gt;=75,"A", H52&gt;=65,"B", H52&gt;=55,"B",H52&gt;=45,"C",H52&lt;=45,"F")</f>
        <v>B</v>
      </c>
      <c r="J52" t="str">
        <f t="shared" si="0"/>
        <v>repeat</v>
      </c>
      <c r="K52" t="str">
        <f t="shared" si="1"/>
        <v>Promoted</v>
      </c>
    </row>
    <row r="53" spans="1:11">
      <c r="A53" s="2">
        <v>52</v>
      </c>
      <c r="B53" s="2" t="s">
        <v>106</v>
      </c>
      <c r="C53" s="2" t="s">
        <v>55</v>
      </c>
      <c r="D53" s="2" t="s">
        <v>95</v>
      </c>
      <c r="E53" s="2">
        <v>10</v>
      </c>
      <c r="F53" s="2">
        <v>15</v>
      </c>
      <c r="G53">
        <v>36</v>
      </c>
      <c r="H53">
        <f t="shared" si="2"/>
        <v>61</v>
      </c>
      <c r="I53" t="str" cm="1">
        <f t="array" ref="I53">_xlfn.IFS(H53&gt;=75,"A", H53&gt;=65,"B", H53&gt;=55,"B",H53&gt;=45,"C",H53&lt;=45,"F")</f>
        <v>B</v>
      </c>
      <c r="J53" t="str">
        <f t="shared" si="0"/>
        <v>repeat</v>
      </c>
      <c r="K53" t="str">
        <f t="shared" si="1"/>
        <v>repeat</v>
      </c>
    </row>
    <row r="54" spans="1:11">
      <c r="A54" s="2">
        <v>53</v>
      </c>
      <c r="B54" s="2" t="s">
        <v>107</v>
      </c>
      <c r="C54" s="2" t="s">
        <v>52</v>
      </c>
      <c r="D54" s="2" t="s">
        <v>95</v>
      </c>
      <c r="E54" s="2">
        <v>6</v>
      </c>
      <c r="F54" s="2">
        <v>2</v>
      </c>
      <c r="G54">
        <v>34</v>
      </c>
      <c r="H54">
        <f t="shared" si="2"/>
        <v>42</v>
      </c>
      <c r="I54" t="str" cm="1">
        <f t="array" ref="I54">_xlfn.IFS(H54&gt;=75,"A", H54&gt;=65,"B", H54&gt;=55,"B",H54&gt;=45,"C",H54&lt;=45,"F")</f>
        <v>F</v>
      </c>
      <c r="J54" t="str">
        <f t="shared" si="0"/>
        <v>repeat</v>
      </c>
      <c r="K54" t="str">
        <f t="shared" si="1"/>
        <v>Promoted</v>
      </c>
    </row>
    <row r="55" spans="1:11">
      <c r="A55" s="2">
        <v>54</v>
      </c>
      <c r="B55" s="2" t="s">
        <v>108</v>
      </c>
      <c r="C55" s="2" t="s">
        <v>52</v>
      </c>
      <c r="D55" s="2" t="s">
        <v>95</v>
      </c>
      <c r="E55" s="2">
        <v>2</v>
      </c>
      <c r="F55" s="2">
        <v>11</v>
      </c>
      <c r="G55">
        <v>36</v>
      </c>
      <c r="H55">
        <f t="shared" si="2"/>
        <v>49</v>
      </c>
      <c r="I55" t="str" cm="1">
        <f t="array" ref="I55">_xlfn.IFS(H55&gt;=75,"A", H55&gt;=65,"B", H55&gt;=55,"B",H55&gt;=45,"C",H55&lt;=45,"F")</f>
        <v>C</v>
      </c>
      <c r="J55" t="str">
        <f t="shared" si="0"/>
        <v>repeat</v>
      </c>
      <c r="K55" t="str">
        <f t="shared" si="1"/>
        <v>Promoted</v>
      </c>
    </row>
    <row r="56" spans="1:11">
      <c r="A56" s="2">
        <v>55</v>
      </c>
      <c r="B56" s="2" t="s">
        <v>109</v>
      </c>
      <c r="C56" s="2" t="s">
        <v>55</v>
      </c>
      <c r="D56" s="2" t="s">
        <v>95</v>
      </c>
      <c r="E56" s="2">
        <v>3</v>
      </c>
      <c r="F56" s="2">
        <v>12</v>
      </c>
      <c r="G56">
        <v>52</v>
      </c>
      <c r="H56">
        <f t="shared" si="2"/>
        <v>67</v>
      </c>
      <c r="I56" t="str" cm="1">
        <f t="array" ref="I56">_xlfn.IFS(H56&gt;=75,"A", H56&gt;=65,"B", H56&gt;=55,"B",H56&gt;=45,"C",H56&lt;=45,"F")</f>
        <v>B</v>
      </c>
      <c r="J56" t="str">
        <f t="shared" si="0"/>
        <v>repeat</v>
      </c>
      <c r="K56" t="str">
        <f t="shared" si="1"/>
        <v>repeat</v>
      </c>
    </row>
    <row r="57" spans="1:11">
      <c r="A57" s="2">
        <v>56</v>
      </c>
      <c r="B57" s="2" t="s">
        <v>110</v>
      </c>
      <c r="C57" s="2" t="s">
        <v>52</v>
      </c>
      <c r="D57" s="2" t="s">
        <v>95</v>
      </c>
      <c r="E57" s="2">
        <v>3</v>
      </c>
      <c r="F57" s="2">
        <v>20</v>
      </c>
      <c r="G57">
        <v>38</v>
      </c>
      <c r="H57">
        <f t="shared" si="2"/>
        <v>61</v>
      </c>
      <c r="I57" t="str" cm="1">
        <f t="array" ref="I57">_xlfn.IFS(H57&gt;=75,"A", H57&gt;=65,"B", H57&gt;=55,"B",H57&gt;=45,"C",H57&lt;=45,"F")</f>
        <v>B</v>
      </c>
      <c r="J57" t="str">
        <f t="shared" si="0"/>
        <v>repeat</v>
      </c>
      <c r="K57" t="str">
        <f t="shared" si="1"/>
        <v>Promoted</v>
      </c>
    </row>
    <row r="58" spans="1:11">
      <c r="A58" s="2">
        <v>57</v>
      </c>
      <c r="B58" s="2" t="s">
        <v>111</v>
      </c>
      <c r="C58" s="2" t="s">
        <v>52</v>
      </c>
      <c r="D58" s="2" t="s">
        <v>95</v>
      </c>
      <c r="E58" s="2">
        <v>6</v>
      </c>
      <c r="F58" s="2">
        <v>10</v>
      </c>
      <c r="G58">
        <v>36</v>
      </c>
      <c r="H58">
        <f t="shared" si="2"/>
        <v>52</v>
      </c>
      <c r="I58" t="str" cm="1">
        <f t="array" ref="I58">_xlfn.IFS(H58&gt;=75,"A", H58&gt;=65,"B", H58&gt;=55,"B",H58&gt;=45,"C",H58&lt;=45,"F")</f>
        <v>C</v>
      </c>
      <c r="J58" t="str">
        <f t="shared" si="0"/>
        <v>repeat</v>
      </c>
      <c r="K58" t="str">
        <f t="shared" si="1"/>
        <v>Promoted</v>
      </c>
    </row>
    <row r="59" spans="1:11">
      <c r="A59" s="2">
        <v>58</v>
      </c>
      <c r="B59" s="2" t="s">
        <v>112</v>
      </c>
      <c r="C59" s="2" t="s">
        <v>52</v>
      </c>
      <c r="D59" s="2" t="s">
        <v>95</v>
      </c>
      <c r="E59" s="2">
        <v>1</v>
      </c>
      <c r="F59" s="2">
        <v>4</v>
      </c>
      <c r="G59">
        <v>44</v>
      </c>
      <c r="H59">
        <f t="shared" si="2"/>
        <v>49</v>
      </c>
      <c r="I59" t="str" cm="1">
        <f t="array" ref="I59">_xlfn.IFS(H59&gt;=75,"A", H59&gt;=65,"B", H59&gt;=55,"B",H59&gt;=45,"C",H59&lt;=45,"F")</f>
        <v>C</v>
      </c>
      <c r="J59" t="str">
        <f t="shared" si="0"/>
        <v>repeat</v>
      </c>
      <c r="K59" t="str">
        <f t="shared" si="1"/>
        <v>Promoted</v>
      </c>
    </row>
    <row r="60" spans="1:11">
      <c r="A60" s="2">
        <v>59</v>
      </c>
      <c r="B60" s="2" t="s">
        <v>113</v>
      </c>
      <c r="C60" s="2" t="s">
        <v>55</v>
      </c>
      <c r="D60" s="2" t="s">
        <v>95</v>
      </c>
      <c r="E60" s="2">
        <v>9</v>
      </c>
      <c r="F60" s="2">
        <v>3</v>
      </c>
      <c r="G60">
        <v>47</v>
      </c>
      <c r="H60">
        <f t="shared" si="2"/>
        <v>59</v>
      </c>
      <c r="I60" t="str" cm="1">
        <f t="array" ref="I60">_xlfn.IFS(H60&gt;=75,"A", H60&gt;=65,"B", H60&gt;=55,"B",H60&gt;=45,"C",H60&lt;=45,"F")</f>
        <v>B</v>
      </c>
      <c r="J60" t="str">
        <f t="shared" si="0"/>
        <v>repeat</v>
      </c>
      <c r="K60" t="str">
        <f t="shared" si="1"/>
        <v>repeat</v>
      </c>
    </row>
    <row r="61" spans="1:11">
      <c r="A61" s="2">
        <v>60</v>
      </c>
      <c r="B61" s="2" t="s">
        <v>114</v>
      </c>
      <c r="C61" s="2" t="s">
        <v>55</v>
      </c>
      <c r="D61" s="2" t="s">
        <v>95</v>
      </c>
      <c r="E61" s="2">
        <v>1</v>
      </c>
      <c r="F61" s="2">
        <v>16</v>
      </c>
      <c r="G61">
        <v>32</v>
      </c>
      <c r="H61">
        <f t="shared" si="2"/>
        <v>49</v>
      </c>
      <c r="I61" t="str" cm="1">
        <f t="array" ref="I61">_xlfn.IFS(H61&gt;=75,"A", H61&gt;=65,"B", H61&gt;=55,"B",H61&gt;=45,"C",H61&lt;=45,"F")</f>
        <v>C</v>
      </c>
      <c r="J61" t="str">
        <f t="shared" si="0"/>
        <v>repeat</v>
      </c>
      <c r="K61" t="str">
        <f t="shared" si="1"/>
        <v>repeat</v>
      </c>
    </row>
    <row r="62" spans="1:11">
      <c r="A62" s="2">
        <v>61</v>
      </c>
      <c r="B62" s="2" t="s">
        <v>115</v>
      </c>
      <c r="C62" s="2" t="s">
        <v>55</v>
      </c>
      <c r="D62" s="2" t="s">
        <v>95</v>
      </c>
      <c r="E62" s="2">
        <v>10</v>
      </c>
      <c r="F62" s="2">
        <v>19</v>
      </c>
      <c r="G62">
        <v>55</v>
      </c>
      <c r="H62">
        <f t="shared" si="2"/>
        <v>84</v>
      </c>
      <c r="I62" t="str" cm="1">
        <f t="array" ref="I62">_xlfn.IFS(H62&gt;=75,"A", H62&gt;=65,"B", H62&gt;=55,"B",H62&gt;=45,"C",H62&lt;=45,"F")</f>
        <v>A</v>
      </c>
      <c r="J62" t="str">
        <f t="shared" si="0"/>
        <v>repeat</v>
      </c>
      <c r="K62" t="str">
        <f t="shared" si="1"/>
        <v>repeat</v>
      </c>
    </row>
    <row r="63" spans="1:11">
      <c r="A63" s="2">
        <v>62</v>
      </c>
      <c r="B63" s="2" t="s">
        <v>116</v>
      </c>
      <c r="C63" s="2" t="s">
        <v>55</v>
      </c>
      <c r="D63" s="2" t="s">
        <v>95</v>
      </c>
      <c r="E63" s="2">
        <v>8</v>
      </c>
      <c r="F63" s="2">
        <v>15</v>
      </c>
      <c r="G63">
        <v>52</v>
      </c>
      <c r="H63">
        <f t="shared" si="2"/>
        <v>75</v>
      </c>
      <c r="I63" t="str" cm="1">
        <f t="array" ref="I63">_xlfn.IFS(H63&gt;=75,"A", H63&gt;=65,"B", H63&gt;=55,"B",H63&gt;=45,"C",H63&lt;=45,"F")</f>
        <v>A</v>
      </c>
      <c r="J63" t="str">
        <f t="shared" si="0"/>
        <v>repeat</v>
      </c>
      <c r="K63" t="str">
        <f t="shared" si="1"/>
        <v>repeat</v>
      </c>
    </row>
    <row r="64" spans="1:11">
      <c r="A64" s="2">
        <v>63</v>
      </c>
      <c r="B64" s="2" t="s">
        <v>117</v>
      </c>
      <c r="C64" s="2" t="s">
        <v>52</v>
      </c>
      <c r="D64" s="2" t="s">
        <v>95</v>
      </c>
      <c r="E64" s="2">
        <v>5</v>
      </c>
      <c r="F64" s="2">
        <v>13</v>
      </c>
      <c r="G64">
        <v>43</v>
      </c>
      <c r="H64">
        <f t="shared" si="2"/>
        <v>61</v>
      </c>
      <c r="I64" t="str" cm="1">
        <f t="array" ref="I64">_xlfn.IFS(H64&gt;=75,"A", H64&gt;=65,"B", H64&gt;=55,"B",H64&gt;=45,"C",H64&lt;=45,"F")</f>
        <v>B</v>
      </c>
      <c r="J64" t="str">
        <f t="shared" si="0"/>
        <v>repeat</v>
      </c>
      <c r="K64" t="str">
        <f t="shared" si="1"/>
        <v>Promoted</v>
      </c>
    </row>
    <row r="65" spans="1:11">
      <c r="A65" s="2">
        <v>64</v>
      </c>
      <c r="B65" s="2" t="s">
        <v>118</v>
      </c>
      <c r="C65" s="2" t="s">
        <v>55</v>
      </c>
      <c r="D65" s="2" t="s">
        <v>95</v>
      </c>
      <c r="E65" s="2">
        <v>7</v>
      </c>
      <c r="F65" s="2">
        <v>17</v>
      </c>
      <c r="G65">
        <v>44</v>
      </c>
      <c r="H65">
        <f t="shared" si="2"/>
        <v>68</v>
      </c>
      <c r="I65" t="str" cm="1">
        <f t="array" ref="I65">_xlfn.IFS(H65&gt;=75,"A", H65&gt;=65,"B", H65&gt;=55,"B",H65&gt;=45,"C",H65&lt;=45,"F")</f>
        <v>B</v>
      </c>
      <c r="J65" t="str">
        <f t="shared" si="0"/>
        <v>repeat</v>
      </c>
      <c r="K65" t="str">
        <f t="shared" si="1"/>
        <v>repeat</v>
      </c>
    </row>
    <row r="66" spans="1:11">
      <c r="A66" s="2">
        <v>65</v>
      </c>
      <c r="B66" s="2" t="s">
        <v>119</v>
      </c>
      <c r="C66" s="2" t="s">
        <v>55</v>
      </c>
      <c r="D66" s="2" t="s">
        <v>95</v>
      </c>
      <c r="E66" s="2">
        <v>3</v>
      </c>
      <c r="F66" s="2">
        <v>3</v>
      </c>
      <c r="G66">
        <v>39</v>
      </c>
      <c r="H66">
        <f t="shared" si="2"/>
        <v>45</v>
      </c>
      <c r="I66" t="str" cm="1">
        <f t="array" ref="I66">_xlfn.IFS(H66&gt;=75,"A", H66&gt;=65,"B", H66&gt;=55,"B",H66&gt;=45,"C",H66&lt;=45,"F")</f>
        <v>C</v>
      </c>
      <c r="J66" t="str">
        <f t="shared" ref="J66:J101" si="3">IF(AND(D66="Science",C66="Female"),"Promoted","repeat")</f>
        <v>repeat</v>
      </c>
      <c r="K66" t="str">
        <f t="shared" ref="K66:K101" si="4">IF(OR(D66="Science",C66="Female"),"Promoted","repeat")</f>
        <v>repeat</v>
      </c>
    </row>
    <row r="67" spans="1:11">
      <c r="A67" s="2">
        <v>66</v>
      </c>
      <c r="B67" s="2" t="s">
        <v>120</v>
      </c>
      <c r="C67" s="2" t="s">
        <v>55</v>
      </c>
      <c r="D67" s="2" t="s">
        <v>95</v>
      </c>
      <c r="E67" s="2">
        <v>5</v>
      </c>
      <c r="F67" s="2">
        <v>19</v>
      </c>
      <c r="G67">
        <v>38</v>
      </c>
      <c r="H67">
        <f t="shared" ref="H67:H101" si="5">SUM(E67:G67)</f>
        <v>62</v>
      </c>
      <c r="I67" t="str" cm="1">
        <f t="array" ref="I67">_xlfn.IFS(H67&gt;=75,"A", H67&gt;=65,"B", H67&gt;=55,"B",H67&gt;=45,"C",H67&lt;=45,"F")</f>
        <v>B</v>
      </c>
      <c r="J67" t="str">
        <f t="shared" si="3"/>
        <v>repeat</v>
      </c>
      <c r="K67" t="str">
        <f t="shared" si="4"/>
        <v>repeat</v>
      </c>
    </row>
    <row r="68" spans="1:11">
      <c r="A68" s="2">
        <v>67</v>
      </c>
      <c r="B68" s="2" t="s">
        <v>121</v>
      </c>
      <c r="C68" s="2" t="s">
        <v>52</v>
      </c>
      <c r="D68" s="2" t="s">
        <v>95</v>
      </c>
      <c r="E68" s="2">
        <v>1</v>
      </c>
      <c r="F68" s="2">
        <v>5</v>
      </c>
      <c r="G68">
        <v>44</v>
      </c>
      <c r="H68">
        <f t="shared" si="5"/>
        <v>50</v>
      </c>
      <c r="I68" t="str" cm="1">
        <f t="array" ref="I68">_xlfn.IFS(H68&gt;=75,"A", H68&gt;=65,"B", H68&gt;=55,"B",H68&gt;=45,"C",H68&lt;=45,"F")</f>
        <v>C</v>
      </c>
      <c r="J68" t="str">
        <f t="shared" si="3"/>
        <v>repeat</v>
      </c>
      <c r="K68" t="str">
        <f t="shared" si="4"/>
        <v>Promoted</v>
      </c>
    </row>
    <row r="69" spans="1:11">
      <c r="A69" s="2">
        <v>68</v>
      </c>
      <c r="B69" s="2" t="s">
        <v>122</v>
      </c>
      <c r="C69" s="2" t="s">
        <v>55</v>
      </c>
      <c r="D69" s="2" t="s">
        <v>95</v>
      </c>
      <c r="E69" s="2">
        <v>10</v>
      </c>
      <c r="F69" s="2">
        <v>12</v>
      </c>
      <c r="G69">
        <v>54</v>
      </c>
      <c r="H69">
        <f t="shared" si="5"/>
        <v>76</v>
      </c>
      <c r="I69" t="str" cm="1">
        <f t="array" ref="I69">_xlfn.IFS(H69&gt;=75,"A", H69&gt;=65,"B", H69&gt;=55,"B",H69&gt;=45,"C",H69&lt;=45,"F")</f>
        <v>A</v>
      </c>
      <c r="J69" t="str">
        <f t="shared" si="3"/>
        <v>repeat</v>
      </c>
      <c r="K69" t="str">
        <f t="shared" si="4"/>
        <v>repeat</v>
      </c>
    </row>
    <row r="70" spans="1:11">
      <c r="A70" s="2">
        <v>69</v>
      </c>
      <c r="B70" s="2" t="s">
        <v>123</v>
      </c>
      <c r="C70" s="2" t="s">
        <v>55</v>
      </c>
      <c r="D70" s="2" t="s">
        <v>95</v>
      </c>
      <c r="E70" s="2">
        <v>8</v>
      </c>
      <c r="F70" s="2">
        <v>5</v>
      </c>
      <c r="G70">
        <v>30</v>
      </c>
      <c r="H70">
        <f t="shared" si="5"/>
        <v>43</v>
      </c>
      <c r="I70" t="str" cm="1">
        <f t="array" ref="I70">_xlfn.IFS(H70&gt;=75,"A", H70&gt;=65,"B", H70&gt;=55,"B",H70&gt;=45,"C",H70&lt;=45,"F")</f>
        <v>F</v>
      </c>
      <c r="J70" t="str">
        <f t="shared" si="3"/>
        <v>repeat</v>
      </c>
      <c r="K70" t="str">
        <f t="shared" si="4"/>
        <v>repeat</v>
      </c>
    </row>
    <row r="71" spans="1:11">
      <c r="A71" s="2">
        <v>70</v>
      </c>
      <c r="B71" s="2" t="s">
        <v>124</v>
      </c>
      <c r="C71" s="2" t="s">
        <v>55</v>
      </c>
      <c r="D71" s="2" t="s">
        <v>95</v>
      </c>
      <c r="E71" s="2">
        <v>6</v>
      </c>
      <c r="F71" s="2">
        <v>5</v>
      </c>
      <c r="G71">
        <v>35</v>
      </c>
      <c r="H71">
        <f t="shared" si="5"/>
        <v>46</v>
      </c>
      <c r="I71" t="str" cm="1">
        <f t="array" ref="I71">_xlfn.IFS(H71&gt;=75,"A", H71&gt;=65,"B", H71&gt;=55,"B",H71&gt;=45,"C",H71&lt;=45,"F")</f>
        <v>C</v>
      </c>
      <c r="J71" t="str">
        <f t="shared" si="3"/>
        <v>repeat</v>
      </c>
      <c r="K71" t="str">
        <f t="shared" si="4"/>
        <v>repeat</v>
      </c>
    </row>
    <row r="72" spans="1:11">
      <c r="A72" s="2">
        <v>71</v>
      </c>
      <c r="B72" s="2" t="s">
        <v>125</v>
      </c>
      <c r="C72" s="2" t="s">
        <v>55</v>
      </c>
      <c r="D72" s="2" t="s">
        <v>95</v>
      </c>
      <c r="E72" s="2">
        <v>6</v>
      </c>
      <c r="F72" s="2">
        <v>2</v>
      </c>
      <c r="G72">
        <v>41</v>
      </c>
      <c r="H72">
        <f t="shared" si="5"/>
        <v>49</v>
      </c>
      <c r="I72" t="str" cm="1">
        <f t="array" ref="I72">_xlfn.IFS(H72&gt;=75,"A", H72&gt;=65,"B", H72&gt;=55,"B",H72&gt;=45,"C",H72&lt;=45,"F")</f>
        <v>C</v>
      </c>
      <c r="J72" t="str">
        <f t="shared" si="3"/>
        <v>repeat</v>
      </c>
      <c r="K72" t="str">
        <f t="shared" si="4"/>
        <v>repeat</v>
      </c>
    </row>
    <row r="73" spans="1:11">
      <c r="A73" s="2">
        <v>72</v>
      </c>
      <c r="B73" s="2" t="s">
        <v>126</v>
      </c>
      <c r="C73" s="2" t="s">
        <v>55</v>
      </c>
      <c r="D73" s="2" t="s">
        <v>95</v>
      </c>
      <c r="E73" s="2">
        <v>10</v>
      </c>
      <c r="F73" s="2">
        <v>5</v>
      </c>
      <c r="G73">
        <v>39</v>
      </c>
      <c r="H73">
        <f t="shared" si="5"/>
        <v>54</v>
      </c>
      <c r="I73" t="str" cm="1">
        <f t="array" ref="I73">_xlfn.IFS(H73&gt;=75,"A", H73&gt;=65,"B", H73&gt;=55,"B",H73&gt;=45,"C",H73&lt;=45,"F")</f>
        <v>C</v>
      </c>
      <c r="J73" t="str">
        <f t="shared" si="3"/>
        <v>repeat</v>
      </c>
      <c r="K73" t="str">
        <f t="shared" si="4"/>
        <v>repeat</v>
      </c>
    </row>
    <row r="74" spans="1:11">
      <c r="A74" s="2">
        <v>73</v>
      </c>
      <c r="B74" s="2" t="s">
        <v>127</v>
      </c>
      <c r="C74" s="2" t="s">
        <v>52</v>
      </c>
      <c r="D74" s="2" t="s">
        <v>95</v>
      </c>
      <c r="E74" s="2">
        <v>5</v>
      </c>
      <c r="F74" s="2">
        <v>18</v>
      </c>
      <c r="G74">
        <v>46</v>
      </c>
      <c r="H74">
        <f t="shared" si="5"/>
        <v>69</v>
      </c>
      <c r="I74" t="str" cm="1">
        <f t="array" ref="I74">_xlfn.IFS(H74&gt;=75,"A", H74&gt;=65,"B", H74&gt;=55,"B",H74&gt;=45,"C",H74&lt;=45,"F")</f>
        <v>B</v>
      </c>
      <c r="J74" t="str">
        <f t="shared" si="3"/>
        <v>repeat</v>
      </c>
      <c r="K74" t="str">
        <f t="shared" si="4"/>
        <v>Promoted</v>
      </c>
    </row>
    <row r="75" spans="1:11">
      <c r="A75" s="2">
        <v>74</v>
      </c>
      <c r="B75" s="2" t="s">
        <v>128</v>
      </c>
      <c r="C75" s="2" t="s">
        <v>55</v>
      </c>
      <c r="D75" s="2" t="s">
        <v>95</v>
      </c>
      <c r="E75" s="2">
        <v>8</v>
      </c>
      <c r="F75" s="2">
        <v>13</v>
      </c>
      <c r="G75">
        <v>52</v>
      </c>
      <c r="H75">
        <f t="shared" si="5"/>
        <v>73</v>
      </c>
      <c r="I75" t="str" cm="1">
        <f t="array" ref="I75">_xlfn.IFS(H75&gt;=75,"A", H75&gt;=65,"B", H75&gt;=55,"B",H75&gt;=45,"C",H75&lt;=45,"F")</f>
        <v>B</v>
      </c>
      <c r="J75" t="str">
        <f t="shared" si="3"/>
        <v>repeat</v>
      </c>
      <c r="K75" t="str">
        <f t="shared" si="4"/>
        <v>repeat</v>
      </c>
    </row>
    <row r="76" spans="1:11">
      <c r="A76" s="2">
        <v>75</v>
      </c>
      <c r="B76" s="2" t="s">
        <v>129</v>
      </c>
      <c r="C76" s="2" t="s">
        <v>55</v>
      </c>
      <c r="D76" s="2" t="s">
        <v>95</v>
      </c>
      <c r="E76" s="2">
        <v>10</v>
      </c>
      <c r="F76" s="2">
        <v>14</v>
      </c>
      <c r="G76">
        <v>49</v>
      </c>
      <c r="H76">
        <f t="shared" si="5"/>
        <v>73</v>
      </c>
      <c r="I76" t="str" cm="1">
        <f t="array" ref="I76">_xlfn.IFS(H76&gt;=75,"A", H76&gt;=65,"B", H76&gt;=55,"B",H76&gt;=45,"C",H76&lt;=45,"F")</f>
        <v>B</v>
      </c>
      <c r="J76" t="str">
        <f t="shared" si="3"/>
        <v>repeat</v>
      </c>
      <c r="K76" t="str">
        <f t="shared" si="4"/>
        <v>repeat</v>
      </c>
    </row>
    <row r="77" spans="1:11">
      <c r="A77" s="2">
        <v>76</v>
      </c>
      <c r="B77" s="2" t="s">
        <v>130</v>
      </c>
      <c r="C77" s="2" t="s">
        <v>55</v>
      </c>
      <c r="D77" s="2" t="s">
        <v>95</v>
      </c>
      <c r="E77" s="2">
        <v>7</v>
      </c>
      <c r="F77" s="2">
        <v>10</v>
      </c>
      <c r="G77">
        <v>33</v>
      </c>
      <c r="H77">
        <f t="shared" si="5"/>
        <v>50</v>
      </c>
      <c r="I77" t="str" cm="1">
        <f t="array" ref="I77">_xlfn.IFS(H77&gt;=75,"A", H77&gt;=65,"B", H77&gt;=55,"B",H77&gt;=45,"C",H77&lt;=45,"F")</f>
        <v>C</v>
      </c>
      <c r="J77" t="str">
        <f t="shared" si="3"/>
        <v>repeat</v>
      </c>
      <c r="K77" t="str">
        <f t="shared" si="4"/>
        <v>repeat</v>
      </c>
    </row>
    <row r="78" spans="1:11">
      <c r="A78" s="2">
        <v>77</v>
      </c>
      <c r="B78" s="2" t="s">
        <v>131</v>
      </c>
      <c r="C78" s="2" t="s">
        <v>52</v>
      </c>
      <c r="D78" s="2" t="s">
        <v>132</v>
      </c>
      <c r="E78" s="2">
        <v>8</v>
      </c>
      <c r="F78" s="2">
        <v>1</v>
      </c>
      <c r="G78">
        <v>39</v>
      </c>
      <c r="H78">
        <f t="shared" si="5"/>
        <v>48</v>
      </c>
      <c r="I78" t="str" cm="1">
        <f t="array" ref="I78">_xlfn.IFS(H78&gt;=75,"A", H78&gt;=65,"B", H78&gt;=55,"B",H78&gt;=45,"C",H78&lt;=45,"F")</f>
        <v>C</v>
      </c>
      <c r="J78" t="str">
        <f t="shared" si="3"/>
        <v>repeat</v>
      </c>
      <c r="K78" t="str">
        <f t="shared" si="4"/>
        <v>Promoted</v>
      </c>
    </row>
    <row r="79" spans="1:11">
      <c r="A79" s="2">
        <v>78</v>
      </c>
      <c r="B79" s="2" t="s">
        <v>133</v>
      </c>
      <c r="C79" s="2" t="s">
        <v>55</v>
      </c>
      <c r="D79" s="2" t="s">
        <v>132</v>
      </c>
      <c r="E79" s="2">
        <v>5</v>
      </c>
      <c r="F79" s="2">
        <v>9</v>
      </c>
      <c r="G79">
        <v>30</v>
      </c>
      <c r="H79">
        <f t="shared" si="5"/>
        <v>44</v>
      </c>
      <c r="I79" t="str" cm="1">
        <f t="array" ref="I79">_xlfn.IFS(H79&gt;=75,"A", H79&gt;=65,"B", H79&gt;=55,"B",H79&gt;=45,"C",H79&lt;=45,"F")</f>
        <v>F</v>
      </c>
      <c r="J79" t="str">
        <f t="shared" si="3"/>
        <v>repeat</v>
      </c>
      <c r="K79" t="str">
        <f t="shared" si="4"/>
        <v>repeat</v>
      </c>
    </row>
    <row r="80" spans="1:11">
      <c r="A80" s="2">
        <v>79</v>
      </c>
      <c r="B80" s="2" t="s">
        <v>134</v>
      </c>
      <c r="C80" s="2" t="s">
        <v>52</v>
      </c>
      <c r="D80" s="2" t="s">
        <v>132</v>
      </c>
      <c r="E80" s="2">
        <v>5</v>
      </c>
      <c r="F80" s="2">
        <v>20</v>
      </c>
      <c r="G80">
        <v>49</v>
      </c>
      <c r="H80">
        <f t="shared" si="5"/>
        <v>74</v>
      </c>
      <c r="I80" t="str" cm="1">
        <f t="array" ref="I80">_xlfn.IFS(H80&gt;=75,"A", H80&gt;=65,"B", H80&gt;=55,"B",H80&gt;=45,"C",H80&lt;=45,"F")</f>
        <v>B</v>
      </c>
      <c r="J80" t="str">
        <f t="shared" si="3"/>
        <v>repeat</v>
      </c>
      <c r="K80" t="str">
        <f t="shared" si="4"/>
        <v>Promoted</v>
      </c>
    </row>
    <row r="81" spans="1:11">
      <c r="A81" s="2">
        <v>80</v>
      </c>
      <c r="B81" s="2" t="s">
        <v>135</v>
      </c>
      <c r="C81" s="2" t="s">
        <v>52</v>
      </c>
      <c r="D81" s="2" t="s">
        <v>132</v>
      </c>
      <c r="E81" s="2">
        <v>2</v>
      </c>
      <c r="F81" s="2">
        <v>15</v>
      </c>
      <c r="G81">
        <v>42</v>
      </c>
      <c r="H81">
        <f t="shared" si="5"/>
        <v>59</v>
      </c>
      <c r="I81" t="str" cm="1">
        <f t="array" ref="I81">_xlfn.IFS(H81&gt;=75,"A", H81&gt;=65,"B", H81&gt;=55,"B",H81&gt;=45,"C",H81&lt;=45,"F")</f>
        <v>B</v>
      </c>
      <c r="J81" t="str">
        <f t="shared" si="3"/>
        <v>repeat</v>
      </c>
      <c r="K81" t="str">
        <f t="shared" si="4"/>
        <v>Promoted</v>
      </c>
    </row>
    <row r="82" spans="1:11">
      <c r="A82" s="2">
        <v>81</v>
      </c>
      <c r="B82" s="2" t="s">
        <v>136</v>
      </c>
      <c r="C82" s="2" t="s">
        <v>52</v>
      </c>
      <c r="D82" s="2" t="s">
        <v>132</v>
      </c>
      <c r="E82" s="2">
        <v>2</v>
      </c>
      <c r="F82" s="2">
        <v>3</v>
      </c>
      <c r="G82">
        <v>39</v>
      </c>
      <c r="H82">
        <f t="shared" si="5"/>
        <v>44</v>
      </c>
      <c r="I82" t="str" cm="1">
        <f t="array" ref="I82">_xlfn.IFS(H82&gt;=75,"A", H82&gt;=65,"B", H82&gt;=55,"B",H82&gt;=45,"C",H82&lt;=45,"F")</f>
        <v>F</v>
      </c>
      <c r="J82" t="str">
        <f t="shared" si="3"/>
        <v>repeat</v>
      </c>
      <c r="K82" t="str">
        <f t="shared" si="4"/>
        <v>Promoted</v>
      </c>
    </row>
    <row r="83" spans="1:11">
      <c r="A83" s="2">
        <v>82</v>
      </c>
      <c r="B83" s="2" t="s">
        <v>137</v>
      </c>
      <c r="C83" s="2" t="s">
        <v>55</v>
      </c>
      <c r="D83" s="2" t="s">
        <v>132</v>
      </c>
      <c r="E83" s="2">
        <v>6</v>
      </c>
      <c r="F83" s="2">
        <v>12</v>
      </c>
      <c r="G83">
        <v>47</v>
      </c>
      <c r="H83">
        <f t="shared" si="5"/>
        <v>65</v>
      </c>
      <c r="I83" t="str" cm="1">
        <f t="array" ref="I83">_xlfn.IFS(H83&gt;=75,"A", H83&gt;=65,"B", H83&gt;=55,"B",H83&gt;=45,"C",H83&lt;=45,"F")</f>
        <v>B</v>
      </c>
      <c r="J83" t="str">
        <f t="shared" si="3"/>
        <v>repeat</v>
      </c>
      <c r="K83" t="str">
        <f t="shared" si="4"/>
        <v>repeat</v>
      </c>
    </row>
    <row r="84" spans="1:11">
      <c r="A84" s="2">
        <v>83</v>
      </c>
      <c r="B84" s="2" t="s">
        <v>138</v>
      </c>
      <c r="C84" s="2" t="s">
        <v>52</v>
      </c>
      <c r="D84" s="2" t="s">
        <v>132</v>
      </c>
      <c r="E84" s="2">
        <v>7</v>
      </c>
      <c r="F84" s="2">
        <v>20</v>
      </c>
      <c r="G84">
        <v>30</v>
      </c>
      <c r="H84">
        <f t="shared" si="5"/>
        <v>57</v>
      </c>
      <c r="I84" t="str" cm="1">
        <f t="array" ref="I84">_xlfn.IFS(H84&gt;=75,"A", H84&gt;=65,"B", H84&gt;=55,"B",H84&gt;=45,"C",H84&lt;=45,"F")</f>
        <v>B</v>
      </c>
      <c r="J84" t="str">
        <f t="shared" si="3"/>
        <v>repeat</v>
      </c>
      <c r="K84" t="str">
        <f t="shared" si="4"/>
        <v>Promoted</v>
      </c>
    </row>
    <row r="85" spans="1:11">
      <c r="A85" s="2">
        <v>84</v>
      </c>
      <c r="B85" s="2" t="s">
        <v>139</v>
      </c>
      <c r="C85" s="2" t="s">
        <v>55</v>
      </c>
      <c r="D85" s="2" t="s">
        <v>132</v>
      </c>
      <c r="E85" s="2">
        <v>7</v>
      </c>
      <c r="F85" s="2">
        <v>18</v>
      </c>
      <c r="G85">
        <v>50</v>
      </c>
      <c r="H85">
        <f t="shared" si="5"/>
        <v>75</v>
      </c>
      <c r="I85" t="str" cm="1">
        <f t="array" ref="I85">_xlfn.IFS(H85&gt;=75,"A", H85&gt;=65,"B", H85&gt;=55,"B",H85&gt;=45,"C",H85&lt;=45,"F")</f>
        <v>A</v>
      </c>
      <c r="J85" t="str">
        <f t="shared" si="3"/>
        <v>repeat</v>
      </c>
      <c r="K85" t="str">
        <f t="shared" si="4"/>
        <v>repeat</v>
      </c>
    </row>
    <row r="86" spans="1:11">
      <c r="A86" s="2">
        <v>85</v>
      </c>
      <c r="B86" s="2" t="s">
        <v>140</v>
      </c>
      <c r="C86" s="2" t="s">
        <v>55</v>
      </c>
      <c r="D86" s="2" t="s">
        <v>132</v>
      </c>
      <c r="E86" s="2">
        <v>10</v>
      </c>
      <c r="F86" s="2">
        <v>13</v>
      </c>
      <c r="G86">
        <v>43</v>
      </c>
      <c r="H86">
        <f t="shared" si="5"/>
        <v>66</v>
      </c>
      <c r="I86" t="str" cm="1">
        <f t="array" ref="I86">_xlfn.IFS(H86&gt;=75,"A", H86&gt;=65,"B", H86&gt;=55,"B",H86&gt;=45,"C",H86&lt;=45,"F")</f>
        <v>B</v>
      </c>
      <c r="J86" t="str">
        <f t="shared" si="3"/>
        <v>repeat</v>
      </c>
      <c r="K86" t="str">
        <f t="shared" si="4"/>
        <v>repeat</v>
      </c>
    </row>
    <row r="87" spans="1:11">
      <c r="A87" s="2">
        <v>86</v>
      </c>
      <c r="B87" s="2" t="s">
        <v>141</v>
      </c>
      <c r="C87" s="2" t="s">
        <v>52</v>
      </c>
      <c r="D87" s="2" t="s">
        <v>132</v>
      </c>
      <c r="E87" s="2">
        <v>2</v>
      </c>
      <c r="F87" s="2">
        <v>3</v>
      </c>
      <c r="G87">
        <v>36</v>
      </c>
      <c r="H87">
        <f t="shared" si="5"/>
        <v>41</v>
      </c>
      <c r="I87" t="str" cm="1">
        <f t="array" ref="I87">_xlfn.IFS(H87&gt;=75,"A", H87&gt;=65,"B", H87&gt;=55,"B",H87&gt;=45,"C",H87&lt;=45,"F")</f>
        <v>F</v>
      </c>
      <c r="J87" t="str">
        <f t="shared" si="3"/>
        <v>repeat</v>
      </c>
      <c r="K87" t="str">
        <f t="shared" si="4"/>
        <v>Promoted</v>
      </c>
    </row>
    <row r="88" spans="1:11">
      <c r="A88" s="2">
        <v>87</v>
      </c>
      <c r="B88" s="2" t="s">
        <v>142</v>
      </c>
      <c r="C88" s="2" t="s">
        <v>55</v>
      </c>
      <c r="D88" s="2" t="s">
        <v>132</v>
      </c>
      <c r="E88" s="2">
        <v>3</v>
      </c>
      <c r="F88" s="2">
        <v>17</v>
      </c>
      <c r="G88">
        <v>46</v>
      </c>
      <c r="H88">
        <f t="shared" si="5"/>
        <v>66</v>
      </c>
      <c r="I88" t="str" cm="1">
        <f t="array" ref="I88">_xlfn.IFS(H88&gt;=75,"A", H88&gt;=65,"B", H88&gt;=55,"B",H88&gt;=45,"C",H88&lt;=45,"F")</f>
        <v>B</v>
      </c>
      <c r="J88" t="str">
        <f t="shared" si="3"/>
        <v>repeat</v>
      </c>
      <c r="K88" t="str">
        <f t="shared" si="4"/>
        <v>repeat</v>
      </c>
    </row>
    <row r="89" spans="1:11">
      <c r="A89" s="2">
        <v>88</v>
      </c>
      <c r="B89" s="2" t="s">
        <v>143</v>
      </c>
      <c r="C89" s="2" t="s">
        <v>52</v>
      </c>
      <c r="D89" s="2" t="s">
        <v>132</v>
      </c>
      <c r="E89" s="2">
        <v>3</v>
      </c>
      <c r="F89" s="2">
        <v>19</v>
      </c>
      <c r="G89">
        <v>42</v>
      </c>
      <c r="H89">
        <f t="shared" si="5"/>
        <v>64</v>
      </c>
      <c r="I89" t="str" cm="1">
        <f t="array" ref="I89">_xlfn.IFS(H89&gt;=75,"A", H89&gt;=65,"B", H89&gt;=55,"B",H89&gt;=45,"C",H89&lt;=45,"F")</f>
        <v>B</v>
      </c>
      <c r="J89" t="str">
        <f t="shared" si="3"/>
        <v>repeat</v>
      </c>
      <c r="K89" t="str">
        <f t="shared" si="4"/>
        <v>Promoted</v>
      </c>
    </row>
    <row r="90" spans="1:11">
      <c r="A90" s="2">
        <v>89</v>
      </c>
      <c r="B90" s="2" t="s">
        <v>144</v>
      </c>
      <c r="C90" s="2" t="s">
        <v>55</v>
      </c>
      <c r="D90" s="2" t="s">
        <v>132</v>
      </c>
      <c r="E90" s="2">
        <v>1</v>
      </c>
      <c r="F90" s="2">
        <v>12</v>
      </c>
      <c r="G90">
        <v>42</v>
      </c>
      <c r="H90">
        <f t="shared" si="5"/>
        <v>55</v>
      </c>
      <c r="I90" t="str" cm="1">
        <f t="array" ref="I90">_xlfn.IFS(H90&gt;=75,"A", H90&gt;=65,"B", H90&gt;=55,"B",H90&gt;=45,"C",H90&lt;=45,"F")</f>
        <v>B</v>
      </c>
      <c r="J90" t="str">
        <f t="shared" si="3"/>
        <v>repeat</v>
      </c>
      <c r="K90" t="str">
        <f t="shared" si="4"/>
        <v>repeat</v>
      </c>
    </row>
    <row r="91" spans="1:11">
      <c r="A91" s="2">
        <v>90</v>
      </c>
      <c r="B91" s="2" t="s">
        <v>145</v>
      </c>
      <c r="C91" s="2" t="s">
        <v>52</v>
      </c>
      <c r="D91" s="2" t="s">
        <v>132</v>
      </c>
      <c r="E91" s="2">
        <v>7</v>
      </c>
      <c r="F91" s="2">
        <v>12</v>
      </c>
      <c r="G91">
        <v>32</v>
      </c>
      <c r="H91">
        <f t="shared" si="5"/>
        <v>51</v>
      </c>
      <c r="I91" t="str" cm="1">
        <f t="array" ref="I91">_xlfn.IFS(H91&gt;=75,"A", H91&gt;=65,"B", H91&gt;=55,"B",H91&gt;=45,"C",H91&lt;=45,"F")</f>
        <v>C</v>
      </c>
      <c r="J91" t="str">
        <f t="shared" si="3"/>
        <v>repeat</v>
      </c>
      <c r="K91" t="str">
        <f t="shared" si="4"/>
        <v>Promoted</v>
      </c>
    </row>
    <row r="92" spans="1:11">
      <c r="A92" s="2">
        <v>91</v>
      </c>
      <c r="B92" s="2" t="s">
        <v>146</v>
      </c>
      <c r="C92" s="2" t="s">
        <v>52</v>
      </c>
      <c r="D92" s="2" t="s">
        <v>132</v>
      </c>
      <c r="E92" s="2">
        <v>6</v>
      </c>
      <c r="F92" s="2">
        <v>11</v>
      </c>
      <c r="G92">
        <v>44</v>
      </c>
      <c r="H92">
        <f t="shared" si="5"/>
        <v>61</v>
      </c>
      <c r="I92" t="str" cm="1">
        <f t="array" ref="I92">_xlfn.IFS(H92&gt;=75,"A", H92&gt;=65,"B", H92&gt;=55,"B",H92&gt;=45,"C",H92&lt;=45,"F")</f>
        <v>B</v>
      </c>
      <c r="J92" t="str">
        <f t="shared" si="3"/>
        <v>repeat</v>
      </c>
      <c r="K92" t="str">
        <f t="shared" si="4"/>
        <v>Promoted</v>
      </c>
    </row>
    <row r="93" spans="1:11">
      <c r="A93" s="2">
        <v>92</v>
      </c>
      <c r="B93" s="2" t="s">
        <v>147</v>
      </c>
      <c r="C93" s="2" t="s">
        <v>55</v>
      </c>
      <c r="D93" s="2" t="s">
        <v>132</v>
      </c>
      <c r="E93" s="2">
        <v>3</v>
      </c>
      <c r="F93" s="2">
        <v>17</v>
      </c>
      <c r="G93">
        <v>38</v>
      </c>
      <c r="H93">
        <f t="shared" si="5"/>
        <v>58</v>
      </c>
      <c r="I93" t="str" cm="1">
        <f t="array" ref="I93">_xlfn.IFS(H93&gt;=75,"A", H93&gt;=65,"B", H93&gt;=55,"B",H93&gt;=45,"C",H93&lt;=45,"F")</f>
        <v>B</v>
      </c>
      <c r="J93" t="str">
        <f t="shared" si="3"/>
        <v>repeat</v>
      </c>
      <c r="K93" t="str">
        <f t="shared" si="4"/>
        <v>repeat</v>
      </c>
    </row>
    <row r="94" spans="1:11">
      <c r="A94" s="2">
        <v>93</v>
      </c>
      <c r="B94" s="2" t="s">
        <v>148</v>
      </c>
      <c r="C94" s="2" t="s">
        <v>52</v>
      </c>
      <c r="D94" s="2" t="s">
        <v>132</v>
      </c>
      <c r="E94" s="2">
        <v>10</v>
      </c>
      <c r="F94" s="2">
        <v>18</v>
      </c>
      <c r="G94">
        <v>52</v>
      </c>
      <c r="H94">
        <f t="shared" si="5"/>
        <v>80</v>
      </c>
      <c r="I94" t="str" cm="1">
        <f t="array" ref="I94">_xlfn.IFS(H94&gt;=75,"A", H94&gt;=65,"B", H94&gt;=55,"B",H94&gt;=45,"C",H94&lt;=45,"F")</f>
        <v>A</v>
      </c>
      <c r="J94" t="str">
        <f t="shared" si="3"/>
        <v>repeat</v>
      </c>
      <c r="K94" t="str">
        <f t="shared" si="4"/>
        <v>Promoted</v>
      </c>
    </row>
    <row r="95" spans="1:11">
      <c r="A95" s="2">
        <v>94</v>
      </c>
      <c r="B95" s="2" t="s">
        <v>149</v>
      </c>
      <c r="C95" s="2" t="s">
        <v>55</v>
      </c>
      <c r="D95" s="2" t="s">
        <v>132</v>
      </c>
      <c r="E95" s="2">
        <v>8</v>
      </c>
      <c r="F95" s="2">
        <v>18</v>
      </c>
      <c r="G95">
        <v>55</v>
      </c>
      <c r="H95">
        <f t="shared" si="5"/>
        <v>81</v>
      </c>
      <c r="I95" t="str" cm="1">
        <f t="array" ref="I95">_xlfn.IFS(H95&gt;=75,"A", H95&gt;=65,"B", H95&gt;=55,"B",H95&gt;=45,"C",H95&lt;=45,"F")</f>
        <v>A</v>
      </c>
      <c r="J95" t="str">
        <f t="shared" si="3"/>
        <v>repeat</v>
      </c>
      <c r="K95" t="str">
        <f t="shared" si="4"/>
        <v>repeat</v>
      </c>
    </row>
    <row r="96" spans="1:11">
      <c r="A96" s="2">
        <v>95</v>
      </c>
      <c r="B96" s="2" t="s">
        <v>150</v>
      </c>
      <c r="C96" s="2" t="s">
        <v>52</v>
      </c>
      <c r="D96" s="2" t="s">
        <v>132</v>
      </c>
      <c r="E96" s="2">
        <v>4</v>
      </c>
      <c r="F96" s="2">
        <v>5</v>
      </c>
      <c r="G96">
        <v>35</v>
      </c>
      <c r="H96">
        <f t="shared" si="5"/>
        <v>44</v>
      </c>
      <c r="I96" t="str" cm="1">
        <f t="array" ref="I96">_xlfn.IFS(H96&gt;=75,"A", H96&gt;=65,"B", H96&gt;=55,"B",H96&gt;=45,"C",H96&lt;=45,"F")</f>
        <v>F</v>
      </c>
      <c r="J96" t="str">
        <f t="shared" si="3"/>
        <v>repeat</v>
      </c>
      <c r="K96" t="str">
        <f t="shared" si="4"/>
        <v>Promoted</v>
      </c>
    </row>
    <row r="97" spans="1:11">
      <c r="A97" s="2">
        <v>96</v>
      </c>
      <c r="B97" s="2" t="s">
        <v>151</v>
      </c>
      <c r="C97" s="2" t="s">
        <v>55</v>
      </c>
      <c r="D97" s="2" t="s">
        <v>132</v>
      </c>
      <c r="E97" s="2">
        <v>5</v>
      </c>
      <c r="F97" s="2">
        <v>18</v>
      </c>
      <c r="G97">
        <v>38</v>
      </c>
      <c r="H97">
        <f t="shared" si="5"/>
        <v>61</v>
      </c>
      <c r="I97" t="str" cm="1">
        <f t="array" ref="I97">_xlfn.IFS(H97&gt;=75,"A", H97&gt;=65,"B", H97&gt;=55,"B",H97&gt;=45,"C",H97&lt;=45,"F")</f>
        <v>B</v>
      </c>
      <c r="J97" t="str">
        <f t="shared" si="3"/>
        <v>repeat</v>
      </c>
      <c r="K97" t="str">
        <f t="shared" si="4"/>
        <v>repeat</v>
      </c>
    </row>
    <row r="98" spans="1:11">
      <c r="A98" s="2">
        <v>97</v>
      </c>
      <c r="B98" s="2" t="s">
        <v>152</v>
      </c>
      <c r="C98" s="2" t="s">
        <v>55</v>
      </c>
      <c r="D98" s="2" t="s">
        <v>132</v>
      </c>
      <c r="E98" s="2">
        <v>6</v>
      </c>
      <c r="F98" s="2">
        <v>12</v>
      </c>
      <c r="G98">
        <v>47</v>
      </c>
      <c r="H98">
        <f t="shared" si="5"/>
        <v>65</v>
      </c>
      <c r="I98" t="str" cm="1">
        <f t="array" ref="I98">_xlfn.IFS(H98&gt;=75,"A", H98&gt;=65,"B", H98&gt;=55,"B",H98&gt;=45,"C",H98&lt;=45,"F")</f>
        <v>B</v>
      </c>
      <c r="J98" t="str">
        <f t="shared" si="3"/>
        <v>repeat</v>
      </c>
      <c r="K98" t="str">
        <f t="shared" si="4"/>
        <v>repeat</v>
      </c>
    </row>
    <row r="99" spans="1:11">
      <c r="A99" s="2">
        <v>98</v>
      </c>
      <c r="B99" s="2" t="s">
        <v>153</v>
      </c>
      <c r="C99" s="2" t="s">
        <v>52</v>
      </c>
      <c r="D99" s="2" t="s">
        <v>132</v>
      </c>
      <c r="E99" s="2">
        <v>5</v>
      </c>
      <c r="F99" s="2">
        <v>2</v>
      </c>
      <c r="G99">
        <v>37</v>
      </c>
      <c r="H99">
        <f t="shared" si="5"/>
        <v>44</v>
      </c>
      <c r="I99" t="str" cm="1">
        <f t="array" ref="I99">_xlfn.IFS(H99&gt;=75,"A", H99&gt;=65,"B", H99&gt;=55,"B",H99&gt;=45,"C",H99&lt;=45,"F")</f>
        <v>F</v>
      </c>
      <c r="J99" t="str">
        <f t="shared" si="3"/>
        <v>repeat</v>
      </c>
      <c r="K99" t="str">
        <f t="shared" si="4"/>
        <v>Promoted</v>
      </c>
    </row>
    <row r="100" spans="1:11">
      <c r="A100" s="2">
        <v>99</v>
      </c>
      <c r="B100" s="2" t="s">
        <v>154</v>
      </c>
      <c r="C100" s="2" t="s">
        <v>55</v>
      </c>
      <c r="D100" s="2" t="s">
        <v>132</v>
      </c>
      <c r="E100" s="2">
        <v>7</v>
      </c>
      <c r="F100" s="2">
        <v>1</v>
      </c>
      <c r="G100">
        <v>52</v>
      </c>
      <c r="H100">
        <f t="shared" si="5"/>
        <v>60</v>
      </c>
      <c r="I100" t="str" cm="1">
        <f t="array" ref="I100">_xlfn.IFS(H100&gt;=75,"A", H100&gt;=65,"B", H100&gt;=55,"B",H100&gt;=45,"C",H100&lt;=45,"F")</f>
        <v>B</v>
      </c>
      <c r="J100" t="str">
        <f t="shared" si="3"/>
        <v>repeat</v>
      </c>
      <c r="K100" t="str">
        <f t="shared" si="4"/>
        <v>repeat</v>
      </c>
    </row>
    <row r="101" spans="1:11">
      <c r="A101" s="2">
        <v>100</v>
      </c>
      <c r="B101" s="2" t="s">
        <v>155</v>
      </c>
      <c r="C101" s="2" t="s">
        <v>55</v>
      </c>
      <c r="D101" s="2" t="s">
        <v>132</v>
      </c>
      <c r="E101" s="2">
        <v>3</v>
      </c>
      <c r="F101" s="2">
        <v>14</v>
      </c>
      <c r="G101">
        <v>51</v>
      </c>
      <c r="H101">
        <f t="shared" si="5"/>
        <v>68</v>
      </c>
      <c r="I101" t="str" cm="1">
        <f t="array" ref="I101">_xlfn.IFS(H101&gt;=75,"A", H101&gt;=65,"B", H101&gt;=55,"B",H101&gt;=45,"C",H101&lt;=45,"F")</f>
        <v>B</v>
      </c>
      <c r="J101" t="str">
        <f t="shared" si="3"/>
        <v>repeat</v>
      </c>
      <c r="K101" t="str">
        <f t="shared" si="4"/>
        <v>repeat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Normal="100" workbookViewId="0">
      <selection activeCell="M2" sqref="M2"/>
    </sheetView>
  </sheetViews>
  <sheetFormatPr defaultColWidth="13.85546875" defaultRowHeight="15"/>
  <cols>
    <col min="1" max="1" width="17.7109375" customWidth="1"/>
    <col min="2" max="2" width="13.42578125" customWidth="1"/>
    <col min="3" max="3" width="18.85546875" customWidth="1"/>
    <col min="4" max="4" width="14.42578125" customWidth="1"/>
    <col min="5" max="5" width="18.7109375" customWidth="1"/>
    <col min="6" max="6" width="9.42578125" customWidth="1"/>
    <col min="7" max="7" width="9" bestFit="1" customWidth="1"/>
    <col min="8" max="8" width="14.5703125" bestFit="1" customWidth="1"/>
    <col min="9" max="9" width="18.28515625" bestFit="1" customWidth="1"/>
    <col min="10" max="10" width="8.140625" bestFit="1" customWidth="1"/>
    <col min="11" max="11" width="7.28515625" bestFit="1" customWidth="1"/>
    <col min="12" max="12" width="9.28515625" bestFit="1" customWidth="1"/>
    <col min="13" max="13" width="14.28515625" style="4" bestFit="1" customWidth="1"/>
    <col min="14" max="32" width="9.42578125" customWidth="1"/>
  </cols>
  <sheetData>
    <row r="1" spans="1:13">
      <c r="A1" s="2" t="s">
        <v>156</v>
      </c>
      <c r="B1" s="2" t="s">
        <v>157</v>
      </c>
      <c r="C1" s="2" t="s">
        <v>158</v>
      </c>
      <c r="D1" s="2" t="s">
        <v>159</v>
      </c>
      <c r="E1" s="3" t="s">
        <v>160</v>
      </c>
      <c r="F1" s="2" t="s">
        <v>161</v>
      </c>
      <c r="G1" s="5" t="s">
        <v>580</v>
      </c>
      <c r="H1" s="5" t="s">
        <v>581</v>
      </c>
      <c r="I1" s="5" t="s">
        <v>582</v>
      </c>
      <c r="J1" s="5" t="s">
        <v>583</v>
      </c>
      <c r="K1" s="5" t="s">
        <v>584</v>
      </c>
      <c r="L1" s="5" t="s">
        <v>585</v>
      </c>
    </row>
    <row r="2" spans="1:13">
      <c r="A2" s="2" t="s">
        <v>162</v>
      </c>
      <c r="B2" s="2" t="s">
        <v>163</v>
      </c>
      <c r="C2" s="2" t="s">
        <v>164</v>
      </c>
      <c r="D2" s="2">
        <v>40792</v>
      </c>
      <c r="E2" s="3">
        <v>80069</v>
      </c>
      <c r="F2" s="2">
        <v>1</v>
      </c>
      <c r="G2">
        <f>SUMIF(B:B,"Full Time",E:E)</f>
        <v>21755779</v>
      </c>
      <c r="H2">
        <f>SUMIFS(E:E,C:C,"Admin Training",B:B,"Full Time")</f>
        <v>751033</v>
      </c>
      <c r="I2">
        <f>SUMIFS(E:E,C:C,"Admin Training",B:B,"Contract")</f>
        <v>307499</v>
      </c>
      <c r="J2">
        <f>COUNTIFS(B:B,"Full Time",C:C,"Audit Services")</f>
        <v>5</v>
      </c>
      <c r="K2">
        <f>COUNTIF(B:B,"Full Time")</f>
        <v>212</v>
      </c>
      <c r="L2">
        <f>AVERAGEIF(C:C,"ADC",F:F)</f>
        <v>1.5</v>
      </c>
      <c r="M2" s="4">
        <f>SUMIF(B:B,"Full Time",E:E)</f>
        <v>21755779</v>
      </c>
    </row>
    <row r="3" spans="1:13">
      <c r="A3" s="2" t="s">
        <v>165</v>
      </c>
      <c r="B3" s="2" t="s">
        <v>166</v>
      </c>
      <c r="C3" s="2" t="s">
        <v>164</v>
      </c>
      <c r="D3" s="2">
        <v>42297</v>
      </c>
      <c r="E3" s="3">
        <v>108633</v>
      </c>
      <c r="F3" s="2">
        <v>2</v>
      </c>
      <c r="M3" s="4">
        <f>SUMIF(B:B,"Contract",E:E)</f>
        <v>15336377</v>
      </c>
    </row>
    <row r="4" spans="1:13">
      <c r="A4" s="2" t="s">
        <v>167</v>
      </c>
      <c r="B4" s="2" t="s">
        <v>163</v>
      </c>
      <c r="C4" s="2" t="s">
        <v>168</v>
      </c>
      <c r="D4" s="2">
        <v>36541</v>
      </c>
      <c r="E4" s="3">
        <v>134487</v>
      </c>
      <c r="F4" s="2">
        <v>4</v>
      </c>
      <c r="H4">
        <f>SUMIFS(E:E,C:C,"Admin Training",B:B,"Full Time")</f>
        <v>751033</v>
      </c>
      <c r="I4">
        <f>SUMIFS(E:E,C:C,"Admin Training",B:B,"Contract")</f>
        <v>307499</v>
      </c>
      <c r="K4">
        <f>COUNTIF(B:B,"Full Time")</f>
        <v>212</v>
      </c>
    </row>
    <row r="5" spans="1:13">
      <c r="A5" s="2" t="s">
        <v>169</v>
      </c>
      <c r="B5" s="2" t="s">
        <v>166</v>
      </c>
      <c r="C5" s="2" t="s">
        <v>168</v>
      </c>
      <c r="D5" s="2">
        <v>41758</v>
      </c>
      <c r="E5" s="3">
        <v>86951</v>
      </c>
      <c r="F5" s="2">
        <v>5</v>
      </c>
      <c r="G5" s="2"/>
      <c r="H5" s="2"/>
      <c r="I5" s="2"/>
      <c r="J5" s="2"/>
      <c r="K5" s="2"/>
      <c r="L5" s="2"/>
    </row>
    <row r="6" spans="1:13">
      <c r="A6" s="2" t="s">
        <v>170</v>
      </c>
      <c r="B6" s="2" t="s">
        <v>166</v>
      </c>
      <c r="C6" s="2" t="s">
        <v>168</v>
      </c>
      <c r="D6" s="2">
        <v>39749</v>
      </c>
      <c r="E6" s="3">
        <v>56193</v>
      </c>
      <c r="F6" s="2">
        <v>3</v>
      </c>
      <c r="G6" s="2"/>
      <c r="H6" s="2"/>
      <c r="I6" s="2"/>
      <c r="J6" s="2"/>
      <c r="K6" s="2"/>
      <c r="L6" s="2"/>
    </row>
    <row r="7" spans="1:13">
      <c r="A7" s="2" t="s">
        <v>171</v>
      </c>
      <c r="B7" s="2" t="s">
        <v>163</v>
      </c>
      <c r="C7" s="2" t="s">
        <v>168</v>
      </c>
      <c r="D7" s="2">
        <v>39865</v>
      </c>
      <c r="E7" s="3">
        <v>135054</v>
      </c>
      <c r="F7" s="2">
        <v>1</v>
      </c>
      <c r="G7" s="2"/>
      <c r="H7" s="2"/>
      <c r="I7" s="2"/>
      <c r="J7" s="2"/>
      <c r="K7" s="2"/>
      <c r="L7" s="2"/>
    </row>
    <row r="8" spans="1:13">
      <c r="A8" s="2" t="s">
        <v>172</v>
      </c>
      <c r="B8" s="2" t="s">
        <v>163</v>
      </c>
      <c r="C8" s="2" t="s">
        <v>168</v>
      </c>
      <c r="D8" s="2">
        <v>36702</v>
      </c>
      <c r="E8" s="3">
        <v>143330</v>
      </c>
      <c r="F8" s="2">
        <v>5</v>
      </c>
      <c r="G8" s="2"/>
      <c r="H8" s="2"/>
      <c r="I8" s="2"/>
      <c r="J8" s="2"/>
      <c r="K8" s="2"/>
      <c r="L8" s="2"/>
    </row>
    <row r="9" spans="1:13">
      <c r="A9" s="2" t="s">
        <v>173</v>
      </c>
      <c r="B9" s="2" t="s">
        <v>163</v>
      </c>
      <c r="C9" s="2" t="s">
        <v>168</v>
      </c>
      <c r="D9" s="2">
        <v>43476</v>
      </c>
      <c r="E9" s="3">
        <v>153293</v>
      </c>
      <c r="F9" s="2">
        <v>2</v>
      </c>
      <c r="G9" s="2"/>
      <c r="H9" s="2"/>
      <c r="I9" s="2"/>
      <c r="J9" s="2"/>
      <c r="K9" s="2"/>
      <c r="L9" s="2"/>
    </row>
    <row r="10" spans="1:13">
      <c r="A10" s="2" t="s">
        <v>174</v>
      </c>
      <c r="B10" s="2" t="s">
        <v>163</v>
      </c>
      <c r="C10" s="2" t="s">
        <v>168</v>
      </c>
      <c r="D10" s="2">
        <v>41482</v>
      </c>
      <c r="E10" s="3">
        <v>55323</v>
      </c>
      <c r="F10" s="2">
        <v>4</v>
      </c>
      <c r="G10" s="2"/>
      <c r="H10" s="2"/>
      <c r="I10" s="2"/>
      <c r="J10" s="2"/>
      <c r="K10" s="2"/>
      <c r="L10" s="2"/>
    </row>
    <row r="11" spans="1:13">
      <c r="A11" s="2" t="s">
        <v>175</v>
      </c>
      <c r="B11" s="2" t="s">
        <v>166</v>
      </c>
      <c r="C11" s="2" t="s">
        <v>168</v>
      </c>
      <c r="D11" s="2">
        <v>39300</v>
      </c>
      <c r="E11" s="3">
        <v>90738</v>
      </c>
      <c r="F11" s="2">
        <v>2</v>
      </c>
      <c r="G11" s="2"/>
      <c r="H11" s="2"/>
      <c r="I11" s="2"/>
      <c r="J11" s="2"/>
      <c r="K11" s="2"/>
      <c r="L11" s="2"/>
    </row>
    <row r="12" spans="1:13">
      <c r="A12" s="2" t="s">
        <v>176</v>
      </c>
      <c r="B12" s="2" t="s">
        <v>163</v>
      </c>
      <c r="C12" s="2" t="s">
        <v>168</v>
      </c>
      <c r="D12" s="2">
        <v>43305</v>
      </c>
      <c r="E12" s="3">
        <v>129546</v>
      </c>
      <c r="F12" s="2">
        <v>5</v>
      </c>
      <c r="G12" s="2"/>
      <c r="H12" s="2"/>
      <c r="I12" s="2"/>
      <c r="J12" s="2"/>
      <c r="K12" s="2"/>
      <c r="L12" s="2"/>
    </row>
    <row r="13" spans="1:13">
      <c r="A13" s="2" t="s">
        <v>177</v>
      </c>
      <c r="B13" s="2" t="s">
        <v>166</v>
      </c>
      <c r="C13" s="2" t="s">
        <v>168</v>
      </c>
      <c r="D13" s="2">
        <v>43431</v>
      </c>
      <c r="E13" s="3">
        <v>73617</v>
      </c>
      <c r="F13" s="2">
        <v>4</v>
      </c>
      <c r="G13" s="2"/>
      <c r="H13" s="2"/>
      <c r="I13" s="2"/>
      <c r="J13" s="2"/>
      <c r="K13" s="2"/>
      <c r="L13" s="2"/>
    </row>
    <row r="14" spans="1:13">
      <c r="A14" s="2" t="s">
        <v>178</v>
      </c>
      <c r="B14" s="2" t="s">
        <v>166</v>
      </c>
      <c r="C14" s="2" t="s">
        <v>179</v>
      </c>
      <c r="D14" s="2">
        <v>38677</v>
      </c>
      <c r="E14" s="3">
        <v>45280</v>
      </c>
      <c r="F14" s="2">
        <v>1</v>
      </c>
      <c r="G14" s="2"/>
      <c r="H14" s="2"/>
      <c r="I14" s="2"/>
      <c r="J14" s="2"/>
      <c r="K14" s="2"/>
      <c r="L14" s="2"/>
    </row>
    <row r="15" spans="1:13">
      <c r="A15" s="2" t="s">
        <v>180</v>
      </c>
      <c r="B15" s="2" t="s">
        <v>163</v>
      </c>
      <c r="C15" s="2" t="s">
        <v>179</v>
      </c>
      <c r="D15" s="2">
        <v>36991</v>
      </c>
      <c r="E15" s="3">
        <v>60467</v>
      </c>
      <c r="F15" s="2">
        <v>3</v>
      </c>
      <c r="G15" s="2"/>
      <c r="H15" s="2"/>
      <c r="I15" s="2"/>
      <c r="J15" s="2"/>
      <c r="K15" s="2"/>
      <c r="L15" s="2"/>
    </row>
    <row r="16" spans="1:13">
      <c r="A16" s="2" t="s">
        <v>181</v>
      </c>
      <c r="B16" s="2" t="s">
        <v>166</v>
      </c>
      <c r="C16" s="2" t="s">
        <v>179</v>
      </c>
      <c r="D16" s="2">
        <v>36392</v>
      </c>
      <c r="E16" s="3">
        <v>84184</v>
      </c>
      <c r="F16" s="2">
        <v>1</v>
      </c>
      <c r="G16" s="2"/>
      <c r="H16" s="2"/>
      <c r="I16" s="2"/>
      <c r="J16" s="2"/>
      <c r="K16" s="2"/>
      <c r="L16" s="2"/>
    </row>
    <row r="17" spans="1:12">
      <c r="A17" s="2" t="s">
        <v>182</v>
      </c>
      <c r="B17" s="2" t="s">
        <v>163</v>
      </c>
      <c r="C17" s="2" t="s">
        <v>179</v>
      </c>
      <c r="D17" s="2">
        <v>38814</v>
      </c>
      <c r="E17" s="3">
        <v>88709</v>
      </c>
      <c r="F17" s="2">
        <v>2</v>
      </c>
      <c r="G17" s="2"/>
      <c r="H17" s="2"/>
      <c r="I17" s="2"/>
      <c r="J17" s="2"/>
      <c r="K17" s="2"/>
      <c r="L17" s="2"/>
    </row>
    <row r="18" spans="1:12">
      <c r="A18" s="2" t="s">
        <v>183</v>
      </c>
      <c r="B18" s="2" t="s">
        <v>163</v>
      </c>
      <c r="C18" s="2" t="s">
        <v>179</v>
      </c>
      <c r="D18" s="2">
        <v>36576</v>
      </c>
      <c r="E18" s="3">
        <v>131976</v>
      </c>
      <c r="F18" s="2">
        <v>2</v>
      </c>
      <c r="G18" s="2"/>
      <c r="H18" s="2"/>
      <c r="I18" s="2"/>
      <c r="J18" s="2"/>
      <c r="K18" s="2"/>
      <c r="L18" s="2"/>
    </row>
    <row r="19" spans="1:12">
      <c r="A19" s="2" t="s">
        <v>184</v>
      </c>
      <c r="B19" s="2" t="s">
        <v>166</v>
      </c>
      <c r="C19" s="2" t="s">
        <v>179</v>
      </c>
      <c r="D19" s="2">
        <v>38978</v>
      </c>
      <c r="E19" s="3">
        <v>76340</v>
      </c>
      <c r="F19" s="2">
        <v>3</v>
      </c>
      <c r="G19" s="2"/>
      <c r="H19" s="2"/>
      <c r="I19" s="2"/>
      <c r="J19" s="2"/>
      <c r="K19" s="2"/>
      <c r="L19" s="2"/>
    </row>
    <row r="20" spans="1:12">
      <c r="A20" s="2" t="s">
        <v>185</v>
      </c>
      <c r="B20" s="2" t="s">
        <v>163</v>
      </c>
      <c r="C20" s="2" t="s">
        <v>179</v>
      </c>
      <c r="D20" s="2">
        <v>38432</v>
      </c>
      <c r="E20" s="3">
        <v>74318</v>
      </c>
      <c r="F20" s="2">
        <v>2</v>
      </c>
      <c r="G20" s="2"/>
      <c r="H20" s="2"/>
      <c r="I20" s="2"/>
      <c r="J20" s="2"/>
      <c r="K20" s="2"/>
      <c r="L20" s="2"/>
    </row>
    <row r="21" spans="1:12">
      <c r="A21" s="2" t="s">
        <v>186</v>
      </c>
      <c r="B21" s="2" t="s">
        <v>163</v>
      </c>
      <c r="C21" s="2" t="s">
        <v>179</v>
      </c>
      <c r="D21" s="2">
        <v>36667</v>
      </c>
      <c r="E21" s="3">
        <v>85982</v>
      </c>
      <c r="F21" s="2">
        <v>2</v>
      </c>
      <c r="G21" s="2"/>
      <c r="H21" s="2"/>
      <c r="I21" s="2"/>
      <c r="J21" s="2"/>
      <c r="K21" s="2"/>
      <c r="L21" s="2"/>
    </row>
    <row r="22" spans="1:12">
      <c r="A22" s="2" t="s">
        <v>187</v>
      </c>
      <c r="B22" s="2" t="s">
        <v>163</v>
      </c>
      <c r="C22" s="2" t="s">
        <v>188</v>
      </c>
      <c r="D22" s="2">
        <v>38163</v>
      </c>
      <c r="E22" s="3">
        <v>83066</v>
      </c>
      <c r="F22" s="2">
        <v>3</v>
      </c>
      <c r="G22" s="2"/>
      <c r="H22" s="2"/>
      <c r="I22" s="2"/>
      <c r="J22" s="2"/>
      <c r="K22" s="2"/>
      <c r="L22" s="2"/>
    </row>
    <row r="23" spans="1:12">
      <c r="A23" s="2" t="s">
        <v>189</v>
      </c>
      <c r="B23" s="2" t="s">
        <v>166</v>
      </c>
      <c r="C23" s="2" t="s">
        <v>190</v>
      </c>
      <c r="D23" s="2">
        <v>39049</v>
      </c>
      <c r="E23" s="3">
        <v>111378</v>
      </c>
      <c r="F23" s="2">
        <v>5</v>
      </c>
      <c r="G23" s="2"/>
      <c r="H23" s="2"/>
      <c r="I23" s="2"/>
      <c r="J23" s="2"/>
      <c r="K23" s="2"/>
      <c r="L23" s="2"/>
    </row>
    <row r="24" spans="1:12">
      <c r="A24" s="2" t="s">
        <v>191</v>
      </c>
      <c r="B24" s="2" t="s">
        <v>166</v>
      </c>
      <c r="C24" s="2" t="s">
        <v>190</v>
      </c>
      <c r="D24" s="2">
        <v>40326</v>
      </c>
      <c r="E24" s="3">
        <v>115714</v>
      </c>
      <c r="F24" s="2">
        <v>3</v>
      </c>
      <c r="G24" s="2"/>
      <c r="H24" s="2"/>
      <c r="I24" s="2"/>
      <c r="J24" s="2"/>
      <c r="K24" s="2"/>
      <c r="L24" s="2"/>
    </row>
    <row r="25" spans="1:12">
      <c r="A25" s="2" t="s">
        <v>192</v>
      </c>
      <c r="B25" s="2" t="s">
        <v>163</v>
      </c>
      <c r="C25" s="2" t="s">
        <v>190</v>
      </c>
      <c r="D25" s="2">
        <v>38212</v>
      </c>
      <c r="E25" s="3">
        <v>156843</v>
      </c>
      <c r="F25" s="2">
        <v>4</v>
      </c>
      <c r="G25" s="2"/>
      <c r="H25" s="2"/>
      <c r="I25" s="2"/>
      <c r="J25" s="2"/>
      <c r="K25" s="2"/>
      <c r="L25" s="2"/>
    </row>
    <row r="26" spans="1:12">
      <c r="A26" s="2" t="s">
        <v>193</v>
      </c>
      <c r="B26" s="2" t="s">
        <v>163</v>
      </c>
      <c r="C26" s="2" t="s">
        <v>190</v>
      </c>
      <c r="D26" s="2">
        <v>40187</v>
      </c>
      <c r="E26" s="3">
        <v>110336</v>
      </c>
      <c r="F26" s="2">
        <v>5</v>
      </c>
      <c r="G26" s="2"/>
      <c r="H26" s="2"/>
      <c r="I26" s="2"/>
      <c r="J26" s="2"/>
      <c r="K26" s="2"/>
      <c r="L26" s="2"/>
    </row>
    <row r="27" spans="1:12">
      <c r="A27" s="2" t="s">
        <v>194</v>
      </c>
      <c r="B27" s="2" t="s">
        <v>166</v>
      </c>
      <c r="C27" s="2" t="s">
        <v>190</v>
      </c>
      <c r="D27" s="2">
        <v>41209</v>
      </c>
      <c r="E27" s="3">
        <v>74301</v>
      </c>
      <c r="F27" s="2">
        <v>2</v>
      </c>
      <c r="G27" s="2"/>
      <c r="H27" s="2"/>
      <c r="I27" s="2"/>
      <c r="J27" s="2"/>
      <c r="K27" s="2"/>
      <c r="L27" s="2"/>
    </row>
    <row r="28" spans="1:12">
      <c r="A28" s="2" t="s">
        <v>195</v>
      </c>
      <c r="B28" s="2" t="s">
        <v>166</v>
      </c>
      <c r="C28" s="2" t="s">
        <v>190</v>
      </c>
      <c r="D28" s="2">
        <v>39370</v>
      </c>
      <c r="E28" s="3">
        <v>61045</v>
      </c>
      <c r="F28" s="2">
        <v>4</v>
      </c>
      <c r="G28" s="2"/>
      <c r="H28" s="2"/>
      <c r="I28" s="2"/>
      <c r="J28" s="2"/>
      <c r="K28" s="2"/>
      <c r="L28" s="2"/>
    </row>
    <row r="29" spans="1:12">
      <c r="A29" s="2" t="s">
        <v>196</v>
      </c>
      <c r="B29" s="2" t="s">
        <v>166</v>
      </c>
      <c r="C29" s="2" t="s">
        <v>190</v>
      </c>
      <c r="D29" s="2">
        <v>39196</v>
      </c>
      <c r="E29" s="3">
        <v>54098</v>
      </c>
      <c r="F29" s="2">
        <v>4</v>
      </c>
      <c r="G29" s="2"/>
      <c r="H29" s="2"/>
      <c r="I29" s="2"/>
      <c r="J29" s="2"/>
      <c r="K29" s="2"/>
      <c r="L29" s="2"/>
    </row>
    <row r="30" spans="1:12">
      <c r="A30" s="2" t="s">
        <v>197</v>
      </c>
      <c r="B30" s="2" t="s">
        <v>163</v>
      </c>
      <c r="C30" s="2" t="s">
        <v>190</v>
      </c>
      <c r="D30" s="2">
        <v>42560</v>
      </c>
      <c r="E30" s="3">
        <v>122000</v>
      </c>
      <c r="F30" s="2">
        <v>5</v>
      </c>
      <c r="G30" s="2"/>
      <c r="H30" s="2"/>
      <c r="I30" s="2"/>
      <c r="J30" s="2"/>
      <c r="K30" s="2"/>
      <c r="L30" s="2"/>
    </row>
    <row r="31" spans="1:12">
      <c r="A31" s="2" t="s">
        <v>198</v>
      </c>
      <c r="B31" s="2" t="s">
        <v>163</v>
      </c>
      <c r="C31" s="2" t="s">
        <v>190</v>
      </c>
      <c r="D31" s="2">
        <v>36675</v>
      </c>
      <c r="E31" s="3">
        <v>57699</v>
      </c>
      <c r="F31" s="2">
        <v>3</v>
      </c>
      <c r="G31" s="2"/>
      <c r="H31" s="2"/>
      <c r="I31" s="2"/>
      <c r="J31" s="2"/>
      <c r="K31" s="2"/>
      <c r="L31" s="2"/>
    </row>
    <row r="32" spans="1:12">
      <c r="A32" s="2" t="s">
        <v>199</v>
      </c>
      <c r="B32" s="2" t="s">
        <v>166</v>
      </c>
      <c r="C32" s="2" t="s">
        <v>190</v>
      </c>
      <c r="D32" s="2">
        <v>41253</v>
      </c>
      <c r="E32" s="3">
        <v>61896</v>
      </c>
      <c r="F32" s="2">
        <v>5</v>
      </c>
      <c r="G32" s="2"/>
      <c r="H32" s="2"/>
      <c r="I32" s="2"/>
      <c r="J32" s="2"/>
      <c r="K32" s="2"/>
      <c r="L32" s="2"/>
    </row>
    <row r="33" spans="1:12">
      <c r="A33" s="2" t="s">
        <v>200</v>
      </c>
      <c r="B33" s="2" t="s">
        <v>163</v>
      </c>
      <c r="C33" s="2" t="s">
        <v>190</v>
      </c>
      <c r="D33" s="2">
        <v>38555</v>
      </c>
      <c r="E33" s="3">
        <v>139847</v>
      </c>
      <c r="F33" s="2">
        <v>3</v>
      </c>
      <c r="G33" s="2"/>
      <c r="H33" s="2"/>
      <c r="I33" s="2"/>
      <c r="J33" s="2"/>
      <c r="K33" s="2"/>
      <c r="L33" s="2"/>
    </row>
    <row r="34" spans="1:12">
      <c r="A34" s="2" t="s">
        <v>201</v>
      </c>
      <c r="B34" s="2" t="s">
        <v>163</v>
      </c>
      <c r="C34" s="2" t="s">
        <v>190</v>
      </c>
      <c r="D34" s="2">
        <v>36429</v>
      </c>
      <c r="E34" s="3">
        <v>134244</v>
      </c>
      <c r="F34" s="2">
        <v>3</v>
      </c>
      <c r="G34" s="2"/>
      <c r="H34" s="2"/>
      <c r="I34" s="2"/>
      <c r="J34" s="2"/>
      <c r="K34" s="2"/>
      <c r="L34" s="2"/>
    </row>
    <row r="35" spans="1:12">
      <c r="A35" s="2" t="s">
        <v>202</v>
      </c>
      <c r="B35" s="2" t="s">
        <v>166</v>
      </c>
      <c r="C35" s="2" t="s">
        <v>190</v>
      </c>
      <c r="D35" s="2">
        <v>39362</v>
      </c>
      <c r="E35" s="3">
        <v>122482</v>
      </c>
      <c r="F35" s="2">
        <v>5</v>
      </c>
      <c r="G35" s="2"/>
      <c r="H35" s="2"/>
      <c r="I35" s="2"/>
      <c r="J35" s="2"/>
      <c r="K35" s="2"/>
      <c r="L35" s="2"/>
    </row>
    <row r="36" spans="1:12">
      <c r="A36" s="2" t="s">
        <v>203</v>
      </c>
      <c r="B36" s="2" t="s">
        <v>166</v>
      </c>
      <c r="C36" s="2" t="s">
        <v>190</v>
      </c>
      <c r="D36" s="2">
        <v>36835</v>
      </c>
      <c r="E36" s="3">
        <v>51879</v>
      </c>
      <c r="F36" s="2">
        <v>4</v>
      </c>
      <c r="G36" s="2"/>
      <c r="H36" s="2"/>
      <c r="I36" s="2"/>
      <c r="J36" s="2"/>
      <c r="K36" s="2"/>
      <c r="L36" s="2"/>
    </row>
    <row r="37" spans="1:12">
      <c r="A37" s="2" t="s">
        <v>204</v>
      </c>
      <c r="B37" s="2" t="s">
        <v>166</v>
      </c>
      <c r="C37" s="2" t="s">
        <v>190</v>
      </c>
      <c r="D37" s="2">
        <v>39574</v>
      </c>
      <c r="E37" s="3">
        <v>56294</v>
      </c>
      <c r="F37" s="2">
        <v>4</v>
      </c>
      <c r="G37" s="2"/>
      <c r="H37" s="2"/>
      <c r="I37" s="2"/>
      <c r="J37" s="2"/>
      <c r="K37" s="2"/>
      <c r="L37" s="2"/>
    </row>
    <row r="38" spans="1:12">
      <c r="A38" s="2" t="s">
        <v>205</v>
      </c>
      <c r="B38" s="2" t="s">
        <v>163</v>
      </c>
      <c r="C38" s="2" t="s">
        <v>190</v>
      </c>
      <c r="D38" s="2">
        <v>40557</v>
      </c>
      <c r="E38" s="3">
        <v>154400</v>
      </c>
      <c r="F38" s="2">
        <v>4</v>
      </c>
      <c r="G38" s="2"/>
      <c r="H38" s="2"/>
      <c r="I38" s="2"/>
      <c r="J38" s="2"/>
      <c r="K38" s="2"/>
      <c r="L38" s="2"/>
    </row>
    <row r="39" spans="1:12">
      <c r="A39" s="2" t="s">
        <v>206</v>
      </c>
      <c r="B39" s="2" t="s">
        <v>163</v>
      </c>
      <c r="C39" s="2" t="s">
        <v>190</v>
      </c>
      <c r="D39" s="2">
        <v>38185</v>
      </c>
      <c r="E39" s="3">
        <v>129290</v>
      </c>
      <c r="F39" s="2">
        <v>5</v>
      </c>
      <c r="G39" s="2"/>
      <c r="H39" s="2"/>
      <c r="I39" s="2"/>
      <c r="J39" s="2"/>
      <c r="K39" s="2"/>
      <c r="L39" s="2"/>
    </row>
    <row r="40" spans="1:12">
      <c r="A40" s="2" t="s">
        <v>207</v>
      </c>
      <c r="B40" s="2" t="s">
        <v>166</v>
      </c>
      <c r="C40" s="2" t="s">
        <v>190</v>
      </c>
      <c r="D40" s="2">
        <v>42982</v>
      </c>
      <c r="E40" s="3">
        <v>99769</v>
      </c>
      <c r="F40" s="2">
        <v>5</v>
      </c>
      <c r="G40" s="2"/>
      <c r="H40" s="2"/>
      <c r="I40" s="2"/>
      <c r="J40" s="2"/>
      <c r="K40" s="2"/>
      <c r="L40" s="2"/>
    </row>
    <row r="41" spans="1:12">
      <c r="A41" s="2" t="s">
        <v>208</v>
      </c>
      <c r="B41" s="2" t="s">
        <v>163</v>
      </c>
      <c r="C41" s="2" t="s">
        <v>190</v>
      </c>
      <c r="D41" s="2">
        <v>43190</v>
      </c>
      <c r="E41" s="3">
        <v>112833</v>
      </c>
      <c r="F41" s="2">
        <v>2</v>
      </c>
      <c r="G41" s="2"/>
      <c r="H41" s="2"/>
      <c r="I41" s="2"/>
      <c r="J41" s="2"/>
      <c r="K41" s="2"/>
      <c r="L41" s="2"/>
    </row>
    <row r="42" spans="1:12">
      <c r="A42" s="2" t="s">
        <v>209</v>
      </c>
      <c r="B42" s="2" t="s">
        <v>163</v>
      </c>
      <c r="C42" s="2" t="s">
        <v>190</v>
      </c>
      <c r="D42" s="2">
        <v>38136</v>
      </c>
      <c r="E42" s="3">
        <v>128804</v>
      </c>
      <c r="F42" s="2">
        <v>4</v>
      </c>
      <c r="G42" s="2"/>
      <c r="H42" s="2"/>
      <c r="I42" s="2"/>
      <c r="J42" s="2"/>
      <c r="K42" s="2"/>
      <c r="L42" s="2"/>
    </row>
    <row r="43" spans="1:12">
      <c r="A43" s="2" t="s">
        <v>210</v>
      </c>
      <c r="B43" s="2" t="s">
        <v>163</v>
      </c>
      <c r="C43" s="2" t="s">
        <v>190</v>
      </c>
      <c r="D43" s="2">
        <v>40468</v>
      </c>
      <c r="E43" s="3">
        <v>57213</v>
      </c>
      <c r="F43" s="2">
        <v>3</v>
      </c>
      <c r="G43" s="2"/>
      <c r="H43" s="2"/>
      <c r="I43" s="2"/>
      <c r="J43" s="2"/>
      <c r="K43" s="2"/>
      <c r="L43" s="2"/>
    </row>
    <row r="44" spans="1:12">
      <c r="A44" s="2" t="s">
        <v>211</v>
      </c>
      <c r="B44" s="2" t="s">
        <v>163</v>
      </c>
      <c r="C44" s="2" t="s">
        <v>190</v>
      </c>
      <c r="D44" s="2">
        <v>43459</v>
      </c>
      <c r="E44" s="3">
        <v>127859</v>
      </c>
      <c r="F44" s="2">
        <v>2</v>
      </c>
      <c r="G44" s="2"/>
      <c r="H44" s="2"/>
      <c r="I44" s="2"/>
      <c r="J44" s="2"/>
      <c r="K44" s="2"/>
      <c r="L44" s="2"/>
    </row>
    <row r="45" spans="1:12">
      <c r="A45" s="2" t="s">
        <v>212</v>
      </c>
      <c r="B45" s="2" t="s">
        <v>166</v>
      </c>
      <c r="C45" s="2" t="s">
        <v>190</v>
      </c>
      <c r="D45" s="2">
        <v>38423</v>
      </c>
      <c r="E45" s="3">
        <v>57773</v>
      </c>
      <c r="F45" s="2">
        <v>1</v>
      </c>
      <c r="G45" s="2"/>
      <c r="H45" s="2"/>
      <c r="I45" s="2"/>
      <c r="J45" s="2"/>
      <c r="K45" s="2"/>
      <c r="L45" s="2"/>
    </row>
    <row r="46" spans="1:12">
      <c r="A46" s="2" t="s">
        <v>213</v>
      </c>
      <c r="B46" s="2" t="s">
        <v>163</v>
      </c>
      <c r="C46" s="2" t="s">
        <v>190</v>
      </c>
      <c r="D46" s="2">
        <v>38632</v>
      </c>
      <c r="E46" s="3">
        <v>123836</v>
      </c>
      <c r="F46" s="2">
        <v>5</v>
      </c>
      <c r="G46" s="2"/>
      <c r="H46" s="2"/>
      <c r="I46" s="2"/>
      <c r="J46" s="2"/>
      <c r="K46" s="2"/>
      <c r="L46" s="2"/>
    </row>
    <row r="47" spans="1:12">
      <c r="A47" s="2" t="s">
        <v>214</v>
      </c>
      <c r="B47" s="2" t="s">
        <v>163</v>
      </c>
      <c r="C47" s="2" t="s">
        <v>190</v>
      </c>
      <c r="D47" s="2">
        <v>36138</v>
      </c>
      <c r="E47" s="3">
        <v>58172</v>
      </c>
      <c r="F47" s="2">
        <v>3</v>
      </c>
      <c r="G47" s="2"/>
      <c r="H47" s="2"/>
      <c r="I47" s="2"/>
      <c r="J47" s="2"/>
      <c r="K47" s="2"/>
      <c r="L47" s="2"/>
    </row>
    <row r="48" spans="1:12">
      <c r="A48" s="2" t="s">
        <v>215</v>
      </c>
      <c r="B48" s="2" t="s">
        <v>163</v>
      </c>
      <c r="C48" s="2" t="s">
        <v>190</v>
      </c>
      <c r="D48" s="2">
        <v>43361</v>
      </c>
      <c r="E48" s="3">
        <v>57362</v>
      </c>
      <c r="F48" s="2">
        <v>5</v>
      </c>
      <c r="G48" s="2"/>
      <c r="H48" s="2"/>
      <c r="I48" s="2"/>
      <c r="J48" s="2"/>
      <c r="K48" s="2"/>
      <c r="L48" s="2"/>
    </row>
    <row r="49" spans="1:12">
      <c r="A49" s="2" t="s">
        <v>216</v>
      </c>
      <c r="B49" s="2" t="s">
        <v>163</v>
      </c>
      <c r="C49" s="2" t="s">
        <v>190</v>
      </c>
      <c r="D49" s="2">
        <v>38002</v>
      </c>
      <c r="E49" s="3">
        <v>154332</v>
      </c>
      <c r="F49" s="2">
        <v>3</v>
      </c>
      <c r="G49" s="2"/>
      <c r="H49" s="2"/>
      <c r="I49" s="2"/>
      <c r="J49" s="2"/>
      <c r="K49" s="2"/>
      <c r="L49" s="2"/>
    </row>
    <row r="50" spans="1:12">
      <c r="A50" s="2" t="s">
        <v>217</v>
      </c>
      <c r="B50" s="2" t="s">
        <v>166</v>
      </c>
      <c r="C50" s="2" t="s">
        <v>190</v>
      </c>
      <c r="D50" s="2">
        <v>42584</v>
      </c>
      <c r="E50" s="3">
        <v>91029</v>
      </c>
      <c r="F50" s="2">
        <v>3</v>
      </c>
      <c r="G50" s="2"/>
      <c r="H50" s="2"/>
      <c r="I50" s="2"/>
      <c r="J50" s="2"/>
      <c r="K50" s="2"/>
      <c r="L50" s="2"/>
    </row>
    <row r="51" spans="1:12">
      <c r="A51" s="2" t="s">
        <v>218</v>
      </c>
      <c r="B51" s="2" t="s">
        <v>166</v>
      </c>
      <c r="C51" s="2" t="s">
        <v>190</v>
      </c>
      <c r="D51" s="2">
        <v>42009</v>
      </c>
      <c r="E51" s="3">
        <v>115367</v>
      </c>
      <c r="F51" s="2">
        <v>5</v>
      </c>
      <c r="G51" s="2"/>
      <c r="H51" s="2"/>
      <c r="I51" s="2"/>
      <c r="J51" s="2"/>
      <c r="K51" s="2"/>
      <c r="L51" s="2"/>
    </row>
    <row r="52" spans="1:12">
      <c r="A52" s="2" t="s">
        <v>219</v>
      </c>
      <c r="B52" s="2" t="s">
        <v>166</v>
      </c>
      <c r="C52" s="2" t="s">
        <v>220</v>
      </c>
      <c r="D52" s="2">
        <v>39314</v>
      </c>
      <c r="E52" s="3">
        <v>106078</v>
      </c>
      <c r="F52" s="2">
        <v>4</v>
      </c>
      <c r="G52" s="2"/>
      <c r="H52" s="2"/>
      <c r="I52" s="2"/>
      <c r="J52" s="2"/>
      <c r="K52" s="2"/>
      <c r="L52" s="2"/>
    </row>
    <row r="53" spans="1:12">
      <c r="A53" s="2" t="s">
        <v>221</v>
      </c>
      <c r="B53" s="2" t="s">
        <v>163</v>
      </c>
      <c r="C53" s="2" t="s">
        <v>220</v>
      </c>
      <c r="D53" s="2">
        <v>41443</v>
      </c>
      <c r="E53" s="3">
        <v>65840</v>
      </c>
      <c r="F53" s="2">
        <v>4</v>
      </c>
      <c r="G53" s="2"/>
      <c r="H53" s="2"/>
      <c r="I53" s="2"/>
      <c r="J53" s="2"/>
      <c r="K53" s="2"/>
      <c r="L53" s="2"/>
    </row>
    <row r="54" spans="1:12">
      <c r="A54" s="2" t="s">
        <v>222</v>
      </c>
      <c r="B54" s="2" t="s">
        <v>166</v>
      </c>
      <c r="C54" s="2" t="s">
        <v>220</v>
      </c>
      <c r="D54" s="2">
        <v>36630</v>
      </c>
      <c r="E54" s="3">
        <v>129071</v>
      </c>
      <c r="F54" s="2">
        <v>1</v>
      </c>
      <c r="G54" s="2"/>
      <c r="H54" s="2"/>
      <c r="I54" s="2"/>
      <c r="J54" s="2"/>
      <c r="K54" s="2"/>
      <c r="L54" s="2"/>
    </row>
    <row r="55" spans="1:12">
      <c r="A55" s="2" t="s">
        <v>223</v>
      </c>
      <c r="B55" s="2" t="s">
        <v>163</v>
      </c>
      <c r="C55" s="2" t="s">
        <v>220</v>
      </c>
      <c r="D55" s="2">
        <v>36884</v>
      </c>
      <c r="E55" s="3">
        <v>137363</v>
      </c>
      <c r="F55" s="2">
        <v>3</v>
      </c>
      <c r="G55" s="2"/>
      <c r="H55" s="2"/>
      <c r="I55" s="2"/>
      <c r="J55" s="2"/>
      <c r="K55" s="2"/>
      <c r="L55" s="2"/>
    </row>
    <row r="56" spans="1:12">
      <c r="A56" s="2" t="s">
        <v>224</v>
      </c>
      <c r="B56" s="2" t="s">
        <v>166</v>
      </c>
      <c r="C56" s="2" t="s">
        <v>225</v>
      </c>
      <c r="D56" s="2">
        <v>38759</v>
      </c>
      <c r="E56" s="3">
        <v>74379</v>
      </c>
      <c r="F56" s="2">
        <v>2</v>
      </c>
      <c r="G56" s="2"/>
      <c r="H56" s="2"/>
      <c r="I56" s="2"/>
      <c r="J56" s="2"/>
      <c r="K56" s="2"/>
      <c r="L56" s="2"/>
    </row>
    <row r="57" spans="1:12">
      <c r="A57" s="2" t="s">
        <v>226</v>
      </c>
      <c r="B57" s="2" t="s">
        <v>163</v>
      </c>
      <c r="C57" s="2" t="s">
        <v>225</v>
      </c>
      <c r="D57" s="2">
        <v>36551</v>
      </c>
      <c r="E57" s="3">
        <v>63977</v>
      </c>
      <c r="F57" s="2">
        <v>2</v>
      </c>
      <c r="G57" s="2"/>
      <c r="H57" s="2"/>
      <c r="I57" s="2"/>
      <c r="J57" s="2"/>
      <c r="K57" s="2"/>
      <c r="L57" s="2"/>
    </row>
    <row r="58" spans="1:12">
      <c r="A58" s="2" t="s">
        <v>227</v>
      </c>
      <c r="B58" s="2" t="s">
        <v>166</v>
      </c>
      <c r="C58" s="2" t="s">
        <v>225</v>
      </c>
      <c r="D58" s="2">
        <v>39969</v>
      </c>
      <c r="E58" s="3">
        <v>65157</v>
      </c>
      <c r="F58" s="2">
        <v>5</v>
      </c>
      <c r="G58" s="2"/>
      <c r="H58" s="2"/>
      <c r="I58" s="2"/>
      <c r="J58" s="2"/>
      <c r="K58" s="2"/>
      <c r="L58" s="2"/>
    </row>
    <row r="59" spans="1:12">
      <c r="A59" s="2" t="s">
        <v>228</v>
      </c>
      <c r="B59" s="2" t="s">
        <v>166</v>
      </c>
      <c r="C59" s="2" t="s">
        <v>225</v>
      </c>
      <c r="D59" s="2">
        <v>41925</v>
      </c>
      <c r="E59" s="3">
        <v>47756</v>
      </c>
      <c r="F59" s="2">
        <v>3</v>
      </c>
      <c r="G59" s="2"/>
      <c r="H59" s="2"/>
      <c r="I59" s="2"/>
      <c r="J59" s="2"/>
      <c r="K59" s="2"/>
      <c r="L59" s="2"/>
    </row>
    <row r="60" spans="1:12">
      <c r="A60" s="2" t="s">
        <v>229</v>
      </c>
      <c r="B60" s="2" t="s">
        <v>166</v>
      </c>
      <c r="C60" s="2" t="s">
        <v>225</v>
      </c>
      <c r="D60" s="2">
        <v>43333</v>
      </c>
      <c r="E60" s="3">
        <v>101876</v>
      </c>
      <c r="F60" s="2">
        <v>5</v>
      </c>
      <c r="G60" s="2"/>
      <c r="H60" s="2"/>
      <c r="I60" s="2"/>
      <c r="J60" s="2"/>
      <c r="K60" s="2"/>
      <c r="L60" s="2"/>
    </row>
    <row r="61" spans="1:12">
      <c r="A61" s="2" t="s">
        <v>230</v>
      </c>
      <c r="B61" s="2" t="s">
        <v>166</v>
      </c>
      <c r="C61" s="2" t="s">
        <v>225</v>
      </c>
      <c r="D61" s="2">
        <v>42394</v>
      </c>
      <c r="E61" s="3">
        <v>103008</v>
      </c>
      <c r="F61" s="2">
        <v>1</v>
      </c>
      <c r="G61" s="2"/>
      <c r="H61" s="2"/>
      <c r="I61" s="2"/>
      <c r="J61" s="2"/>
      <c r="K61" s="2"/>
      <c r="L61" s="2"/>
    </row>
    <row r="62" spans="1:12">
      <c r="A62" s="2" t="s">
        <v>231</v>
      </c>
      <c r="B62" s="2" t="s">
        <v>163</v>
      </c>
      <c r="C62" s="2" t="s">
        <v>232</v>
      </c>
      <c r="D62" s="2">
        <v>38205</v>
      </c>
      <c r="E62" s="3">
        <v>67622</v>
      </c>
      <c r="F62" s="2">
        <v>5</v>
      </c>
      <c r="G62" s="2"/>
      <c r="H62" s="2"/>
      <c r="I62" s="2"/>
      <c r="J62" s="2"/>
      <c r="K62" s="2"/>
      <c r="L62" s="2"/>
    </row>
    <row r="63" spans="1:12">
      <c r="A63" s="2" t="s">
        <v>233</v>
      </c>
      <c r="B63" s="2" t="s">
        <v>163</v>
      </c>
      <c r="C63" s="2" t="s">
        <v>232</v>
      </c>
      <c r="D63" s="2">
        <v>36023</v>
      </c>
      <c r="E63" s="3">
        <v>90059</v>
      </c>
      <c r="F63" s="2">
        <v>3</v>
      </c>
      <c r="G63" s="2"/>
      <c r="H63" s="2"/>
      <c r="I63" s="2"/>
      <c r="J63" s="2"/>
      <c r="K63" s="2"/>
      <c r="L63" s="2"/>
    </row>
    <row r="64" spans="1:12">
      <c r="A64" s="2" t="s">
        <v>234</v>
      </c>
      <c r="B64" s="2" t="s">
        <v>166</v>
      </c>
      <c r="C64" s="2" t="s">
        <v>232</v>
      </c>
      <c r="D64" s="2">
        <v>37339</v>
      </c>
      <c r="E64" s="3">
        <v>59274</v>
      </c>
      <c r="F64" s="2">
        <v>1</v>
      </c>
      <c r="G64" s="2"/>
      <c r="H64" s="2"/>
      <c r="I64" s="2"/>
      <c r="J64" s="2"/>
      <c r="K64" s="2"/>
      <c r="L64" s="2"/>
    </row>
    <row r="65" spans="1:12">
      <c r="A65" s="2" t="s">
        <v>235</v>
      </c>
      <c r="B65" s="2" t="s">
        <v>163</v>
      </c>
      <c r="C65" s="2" t="s">
        <v>232</v>
      </c>
      <c r="D65" s="2">
        <v>38523</v>
      </c>
      <c r="E65" s="3">
        <v>109890</v>
      </c>
      <c r="F65" s="2">
        <v>4</v>
      </c>
      <c r="G65" s="2"/>
      <c r="H65" s="2"/>
      <c r="I65" s="2"/>
      <c r="J65" s="2"/>
      <c r="K65" s="2"/>
      <c r="L65" s="2"/>
    </row>
    <row r="66" spans="1:12">
      <c r="A66" s="2" t="s">
        <v>236</v>
      </c>
      <c r="B66" s="2" t="s">
        <v>163</v>
      </c>
      <c r="C66" s="2" t="s">
        <v>232</v>
      </c>
      <c r="D66" s="2">
        <v>38447</v>
      </c>
      <c r="E66" s="3">
        <v>143978</v>
      </c>
      <c r="F66" s="2">
        <v>4</v>
      </c>
      <c r="G66" s="2"/>
      <c r="H66" s="2"/>
      <c r="I66" s="2"/>
      <c r="J66" s="2"/>
      <c r="K66" s="2"/>
      <c r="L66" s="2"/>
    </row>
    <row r="67" spans="1:12">
      <c r="A67" s="2" t="s">
        <v>237</v>
      </c>
      <c r="B67" s="2" t="s">
        <v>163</v>
      </c>
      <c r="C67" s="2" t="s">
        <v>232</v>
      </c>
      <c r="D67" s="2">
        <v>36527</v>
      </c>
      <c r="E67" s="3">
        <v>110214</v>
      </c>
      <c r="F67" s="2">
        <v>2</v>
      </c>
      <c r="G67" s="2"/>
      <c r="H67" s="2"/>
      <c r="I67" s="2"/>
      <c r="J67" s="2"/>
      <c r="K67" s="2"/>
      <c r="L67" s="2"/>
    </row>
    <row r="68" spans="1:12">
      <c r="A68" s="2" t="s">
        <v>238</v>
      </c>
      <c r="B68" s="2" t="s">
        <v>166</v>
      </c>
      <c r="C68" s="2" t="s">
        <v>232</v>
      </c>
      <c r="D68" s="2">
        <v>36469</v>
      </c>
      <c r="E68" s="3">
        <v>123053</v>
      </c>
      <c r="F68" s="2">
        <v>5</v>
      </c>
      <c r="G68" s="2"/>
      <c r="H68" s="2"/>
      <c r="I68" s="2"/>
      <c r="J68" s="2"/>
      <c r="K68" s="2"/>
      <c r="L68" s="2"/>
    </row>
    <row r="69" spans="1:12">
      <c r="A69" s="2" t="s">
        <v>239</v>
      </c>
      <c r="B69" s="2" t="s">
        <v>163</v>
      </c>
      <c r="C69" s="2" t="s">
        <v>232</v>
      </c>
      <c r="D69" s="2">
        <v>36175</v>
      </c>
      <c r="E69" s="3">
        <v>148716</v>
      </c>
      <c r="F69" s="2">
        <v>4</v>
      </c>
      <c r="G69" s="2"/>
      <c r="H69" s="2"/>
      <c r="I69" s="2"/>
      <c r="J69" s="2"/>
      <c r="K69" s="2"/>
      <c r="L69" s="2"/>
    </row>
    <row r="70" spans="1:12">
      <c r="A70" s="2" t="s">
        <v>240</v>
      </c>
      <c r="B70" s="2" t="s">
        <v>163</v>
      </c>
      <c r="C70" s="2" t="s">
        <v>241</v>
      </c>
      <c r="D70" s="2">
        <v>39318</v>
      </c>
      <c r="E70" s="3">
        <v>85091</v>
      </c>
      <c r="F70" s="2">
        <v>5</v>
      </c>
      <c r="G70" s="2"/>
      <c r="H70" s="2"/>
      <c r="I70" s="2"/>
      <c r="J70" s="2"/>
      <c r="K70" s="2"/>
      <c r="L70" s="2"/>
    </row>
    <row r="71" spans="1:12">
      <c r="A71" s="2" t="s">
        <v>242</v>
      </c>
      <c r="B71" s="2" t="s">
        <v>163</v>
      </c>
      <c r="C71" s="2" t="s">
        <v>241</v>
      </c>
      <c r="D71" s="2">
        <v>43308</v>
      </c>
      <c r="E71" s="3">
        <v>119934</v>
      </c>
      <c r="F71" s="2">
        <v>2</v>
      </c>
      <c r="G71" s="2"/>
      <c r="H71" s="2"/>
      <c r="I71" s="2"/>
      <c r="J71" s="2"/>
      <c r="K71" s="2"/>
      <c r="L71" s="2"/>
    </row>
    <row r="72" spans="1:12">
      <c r="A72" s="2" t="s">
        <v>243</v>
      </c>
      <c r="B72" s="2" t="s">
        <v>163</v>
      </c>
      <c r="C72" s="2" t="s">
        <v>241</v>
      </c>
      <c r="D72" s="2">
        <v>39263</v>
      </c>
      <c r="E72" s="3">
        <v>134892</v>
      </c>
      <c r="F72" s="2">
        <v>5</v>
      </c>
      <c r="G72" s="2"/>
      <c r="H72" s="2"/>
      <c r="I72" s="2"/>
      <c r="J72" s="2"/>
      <c r="K72" s="2"/>
      <c r="L72" s="2"/>
    </row>
    <row r="73" spans="1:12">
      <c r="A73" s="2" t="s">
        <v>244</v>
      </c>
      <c r="B73" s="2" t="s">
        <v>163</v>
      </c>
      <c r="C73" s="2" t="s">
        <v>241</v>
      </c>
      <c r="D73" s="2">
        <v>39823</v>
      </c>
      <c r="E73" s="3">
        <v>142236</v>
      </c>
      <c r="F73" s="2">
        <v>2</v>
      </c>
      <c r="G73" s="2"/>
      <c r="H73" s="2"/>
      <c r="I73" s="2"/>
      <c r="J73" s="2"/>
      <c r="K73" s="2"/>
      <c r="L73" s="2"/>
    </row>
    <row r="74" spans="1:12">
      <c r="A74" s="2" t="s">
        <v>245</v>
      </c>
      <c r="B74" s="2" t="s">
        <v>163</v>
      </c>
      <c r="C74" s="2" t="s">
        <v>246</v>
      </c>
      <c r="D74" s="2">
        <v>36351</v>
      </c>
      <c r="E74" s="3">
        <v>56619</v>
      </c>
      <c r="F74" s="2">
        <v>4</v>
      </c>
      <c r="G74" s="2"/>
      <c r="H74" s="2"/>
      <c r="I74" s="2"/>
      <c r="J74" s="2"/>
      <c r="K74" s="2"/>
      <c r="L74" s="2"/>
    </row>
    <row r="75" spans="1:12">
      <c r="A75" s="2" t="s">
        <v>247</v>
      </c>
      <c r="B75" s="2" t="s">
        <v>166</v>
      </c>
      <c r="C75" s="2" t="s">
        <v>246</v>
      </c>
      <c r="D75" s="2">
        <v>39994</v>
      </c>
      <c r="E75" s="3">
        <v>105921</v>
      </c>
      <c r="F75" s="2">
        <v>5</v>
      </c>
      <c r="G75" s="2"/>
      <c r="H75" s="2"/>
      <c r="I75" s="2"/>
      <c r="J75" s="2"/>
      <c r="K75" s="2"/>
      <c r="L75" s="2"/>
    </row>
    <row r="76" spans="1:12">
      <c r="A76" s="2" t="s">
        <v>248</v>
      </c>
      <c r="B76" s="2" t="s">
        <v>166</v>
      </c>
      <c r="C76" s="2" t="s">
        <v>246</v>
      </c>
      <c r="D76" s="2">
        <v>39213</v>
      </c>
      <c r="E76" s="3">
        <v>48686</v>
      </c>
      <c r="F76" s="2">
        <v>4</v>
      </c>
      <c r="G76" s="2"/>
      <c r="H76" s="2"/>
      <c r="I76" s="2"/>
      <c r="J76" s="2"/>
      <c r="K76" s="2"/>
      <c r="L76" s="2"/>
    </row>
    <row r="77" spans="1:12">
      <c r="A77" s="2" t="s">
        <v>249</v>
      </c>
      <c r="B77" s="2" t="s">
        <v>163</v>
      </c>
      <c r="C77" s="2" t="s">
        <v>246</v>
      </c>
      <c r="D77" s="2">
        <v>38063</v>
      </c>
      <c r="E77" s="3">
        <v>57227</v>
      </c>
      <c r="F77" s="2">
        <v>2</v>
      </c>
      <c r="G77" s="2"/>
      <c r="H77" s="2"/>
      <c r="I77" s="2"/>
      <c r="J77" s="2"/>
      <c r="K77" s="2"/>
      <c r="L77" s="2"/>
    </row>
    <row r="78" spans="1:12">
      <c r="A78" s="2" t="s">
        <v>250</v>
      </c>
      <c r="B78" s="2" t="s">
        <v>166</v>
      </c>
      <c r="C78" s="2" t="s">
        <v>246</v>
      </c>
      <c r="D78" s="2">
        <v>38632</v>
      </c>
      <c r="E78" s="3">
        <v>52742</v>
      </c>
      <c r="F78" s="2">
        <v>5</v>
      </c>
      <c r="G78" s="2"/>
      <c r="H78" s="2"/>
      <c r="I78" s="2"/>
      <c r="J78" s="2"/>
      <c r="K78" s="2"/>
      <c r="L78" s="2"/>
    </row>
    <row r="79" spans="1:12">
      <c r="A79" s="2" t="s">
        <v>251</v>
      </c>
      <c r="B79" s="2" t="s">
        <v>163</v>
      </c>
      <c r="C79" s="2" t="s">
        <v>246</v>
      </c>
      <c r="D79" s="2">
        <v>43255</v>
      </c>
      <c r="E79" s="3">
        <v>71321</v>
      </c>
      <c r="F79" s="2">
        <v>5</v>
      </c>
      <c r="G79" s="2"/>
      <c r="H79" s="2"/>
      <c r="I79" s="2"/>
      <c r="J79" s="2"/>
      <c r="K79" s="2"/>
      <c r="L79" s="2"/>
    </row>
    <row r="80" spans="1:12">
      <c r="A80" s="2" t="s">
        <v>252</v>
      </c>
      <c r="B80" s="2" t="s">
        <v>163</v>
      </c>
      <c r="C80" s="2" t="s">
        <v>246</v>
      </c>
      <c r="D80" s="2">
        <v>37880</v>
      </c>
      <c r="E80" s="3">
        <v>76356</v>
      </c>
      <c r="F80" s="2">
        <v>3</v>
      </c>
      <c r="G80" s="2"/>
      <c r="H80" s="2"/>
      <c r="I80" s="2"/>
      <c r="J80" s="2"/>
      <c r="K80" s="2"/>
      <c r="L80" s="2"/>
    </row>
    <row r="81" spans="1:12">
      <c r="A81" s="2" t="s">
        <v>253</v>
      </c>
      <c r="B81" s="2" t="s">
        <v>163</v>
      </c>
      <c r="C81" s="2" t="s">
        <v>246</v>
      </c>
      <c r="D81" s="2">
        <v>38848</v>
      </c>
      <c r="E81" s="3">
        <v>67838</v>
      </c>
      <c r="F81" s="2">
        <v>5</v>
      </c>
      <c r="G81" s="2"/>
      <c r="H81" s="2"/>
      <c r="I81" s="2"/>
      <c r="J81" s="2"/>
      <c r="K81" s="2"/>
      <c r="L81" s="2"/>
    </row>
    <row r="82" spans="1:12">
      <c r="A82" s="2" t="s">
        <v>254</v>
      </c>
      <c r="B82" s="2" t="s">
        <v>163</v>
      </c>
      <c r="C82" s="2" t="s">
        <v>246</v>
      </c>
      <c r="D82" s="2">
        <v>38894</v>
      </c>
      <c r="E82" s="3">
        <v>115925</v>
      </c>
      <c r="F82" s="2">
        <v>3</v>
      </c>
      <c r="G82" s="2"/>
      <c r="H82" s="2"/>
      <c r="I82" s="2"/>
      <c r="J82" s="2"/>
      <c r="K82" s="2"/>
      <c r="L82" s="2"/>
    </row>
    <row r="83" spans="1:12">
      <c r="A83" s="2" t="s">
        <v>255</v>
      </c>
      <c r="B83" s="2" t="s">
        <v>163</v>
      </c>
      <c r="C83" s="2" t="s">
        <v>246</v>
      </c>
      <c r="D83" s="2">
        <v>37950</v>
      </c>
      <c r="E83" s="3">
        <v>128264</v>
      </c>
      <c r="F83" s="2">
        <v>2</v>
      </c>
      <c r="G83" s="2"/>
      <c r="H83" s="2"/>
      <c r="I83" s="2"/>
      <c r="J83" s="2"/>
      <c r="K83" s="2"/>
      <c r="L83" s="2"/>
    </row>
    <row r="84" spans="1:12">
      <c r="A84" s="2" t="s">
        <v>256</v>
      </c>
      <c r="B84" s="2" t="s">
        <v>163</v>
      </c>
      <c r="C84" s="2" t="s">
        <v>246</v>
      </c>
      <c r="D84" s="2">
        <v>40182</v>
      </c>
      <c r="E84" s="3">
        <v>57753</v>
      </c>
      <c r="F84" s="2">
        <v>2</v>
      </c>
      <c r="G84" s="2"/>
      <c r="H84" s="2"/>
      <c r="I84" s="2"/>
      <c r="J84" s="2"/>
      <c r="K84" s="2"/>
      <c r="L84" s="2"/>
    </row>
    <row r="85" spans="1:12">
      <c r="A85" s="2" t="s">
        <v>257</v>
      </c>
      <c r="B85" s="2" t="s">
        <v>163</v>
      </c>
      <c r="C85" s="2" t="s">
        <v>246</v>
      </c>
      <c r="D85" s="2">
        <v>37281</v>
      </c>
      <c r="E85" s="3">
        <v>58158</v>
      </c>
      <c r="F85" s="2">
        <v>4</v>
      </c>
      <c r="G85" s="2"/>
      <c r="H85" s="2"/>
      <c r="I85" s="2"/>
      <c r="J85" s="2"/>
      <c r="K85" s="2"/>
      <c r="L85" s="2"/>
    </row>
    <row r="86" spans="1:12">
      <c r="A86" s="2" t="s">
        <v>258</v>
      </c>
      <c r="B86" s="2" t="s">
        <v>166</v>
      </c>
      <c r="C86" s="2" t="s">
        <v>246</v>
      </c>
      <c r="D86" s="2">
        <v>39423</v>
      </c>
      <c r="E86" s="3">
        <v>73482</v>
      </c>
      <c r="F86" s="2">
        <v>3</v>
      </c>
      <c r="G86" s="2"/>
      <c r="H86" s="2"/>
      <c r="I86" s="2"/>
      <c r="J86" s="2"/>
      <c r="K86" s="2"/>
      <c r="L86" s="2"/>
    </row>
    <row r="87" spans="1:12">
      <c r="A87" s="2" t="s">
        <v>259</v>
      </c>
      <c r="B87" s="2" t="s">
        <v>163</v>
      </c>
      <c r="C87" s="2" t="s">
        <v>246</v>
      </c>
      <c r="D87" s="2">
        <v>38053</v>
      </c>
      <c r="E87" s="3">
        <v>114615</v>
      </c>
      <c r="F87" s="2">
        <v>5</v>
      </c>
      <c r="G87" s="2"/>
      <c r="H87" s="2"/>
      <c r="I87" s="2"/>
      <c r="J87" s="2"/>
      <c r="K87" s="2"/>
      <c r="L87" s="2"/>
    </row>
    <row r="88" spans="1:12">
      <c r="A88" s="2" t="s">
        <v>260</v>
      </c>
      <c r="B88" s="2" t="s">
        <v>166</v>
      </c>
      <c r="C88" s="2" t="s">
        <v>246</v>
      </c>
      <c r="D88" s="2">
        <v>42260</v>
      </c>
      <c r="E88" s="3">
        <v>108733</v>
      </c>
      <c r="F88" s="2">
        <v>3</v>
      </c>
      <c r="G88" s="2"/>
      <c r="H88" s="2"/>
      <c r="I88" s="2"/>
      <c r="J88" s="2"/>
      <c r="K88" s="2"/>
      <c r="L88" s="2"/>
    </row>
    <row r="89" spans="1:12">
      <c r="A89" s="2" t="s">
        <v>261</v>
      </c>
      <c r="B89" s="2" t="s">
        <v>163</v>
      </c>
      <c r="C89" s="2" t="s">
        <v>246</v>
      </c>
      <c r="D89" s="2">
        <v>38821</v>
      </c>
      <c r="E89" s="3">
        <v>76599</v>
      </c>
      <c r="F89" s="2">
        <v>3</v>
      </c>
      <c r="G89" s="2"/>
      <c r="H89" s="2"/>
      <c r="I89" s="2"/>
      <c r="J89" s="2"/>
      <c r="K89" s="2"/>
      <c r="L89" s="2"/>
    </row>
    <row r="90" spans="1:12">
      <c r="A90" s="2" t="s">
        <v>262</v>
      </c>
      <c r="B90" s="2" t="s">
        <v>163</v>
      </c>
      <c r="C90" s="2" t="s">
        <v>246</v>
      </c>
      <c r="D90" s="2">
        <v>37016</v>
      </c>
      <c r="E90" s="3">
        <v>102209</v>
      </c>
      <c r="F90" s="2">
        <v>2</v>
      </c>
      <c r="G90" s="2"/>
      <c r="H90" s="2"/>
      <c r="I90" s="2"/>
      <c r="J90" s="2"/>
      <c r="K90" s="2"/>
      <c r="L90" s="2"/>
    </row>
    <row r="91" spans="1:12">
      <c r="A91" s="2" t="s">
        <v>263</v>
      </c>
      <c r="B91" s="2" t="s">
        <v>166</v>
      </c>
      <c r="C91" s="2" t="s">
        <v>246</v>
      </c>
      <c r="D91" s="2">
        <v>38157</v>
      </c>
      <c r="E91" s="3">
        <v>69124</v>
      </c>
      <c r="F91" s="2">
        <v>5</v>
      </c>
      <c r="G91" s="2"/>
      <c r="H91" s="2"/>
      <c r="I91" s="2"/>
      <c r="J91" s="2"/>
      <c r="K91" s="2"/>
      <c r="L91" s="2"/>
    </row>
    <row r="92" spans="1:12">
      <c r="A92" s="2" t="s">
        <v>264</v>
      </c>
      <c r="B92" s="2" t="s">
        <v>163</v>
      </c>
      <c r="C92" s="2" t="s">
        <v>246</v>
      </c>
      <c r="D92" s="2">
        <v>39146</v>
      </c>
      <c r="E92" s="3">
        <v>148082</v>
      </c>
      <c r="F92" s="2">
        <v>2</v>
      </c>
      <c r="G92" s="2"/>
      <c r="H92" s="2"/>
      <c r="I92" s="2"/>
      <c r="J92" s="2"/>
      <c r="K92" s="2"/>
      <c r="L92" s="2"/>
    </row>
    <row r="93" spans="1:12">
      <c r="A93" s="2" t="s">
        <v>265</v>
      </c>
      <c r="B93" s="2" t="s">
        <v>166</v>
      </c>
      <c r="C93" s="2" t="s">
        <v>246</v>
      </c>
      <c r="D93" s="2">
        <v>39099</v>
      </c>
      <c r="E93" s="3">
        <v>97786</v>
      </c>
      <c r="F93" s="2">
        <v>1</v>
      </c>
      <c r="G93" s="2"/>
      <c r="H93" s="2"/>
      <c r="I93" s="2"/>
      <c r="J93" s="2"/>
      <c r="K93" s="2"/>
      <c r="L93" s="2"/>
    </row>
    <row r="94" spans="1:12">
      <c r="A94" s="2" t="s">
        <v>266</v>
      </c>
      <c r="B94" s="2" t="s">
        <v>163</v>
      </c>
      <c r="C94" s="2" t="s">
        <v>267</v>
      </c>
      <c r="D94" s="2">
        <v>38725</v>
      </c>
      <c r="E94" s="3">
        <v>160178</v>
      </c>
      <c r="F94" s="2">
        <v>1</v>
      </c>
      <c r="G94" s="2"/>
      <c r="H94" s="2"/>
      <c r="I94" s="2"/>
      <c r="J94" s="2"/>
      <c r="K94" s="2"/>
      <c r="L94" s="2"/>
    </row>
    <row r="95" spans="1:12">
      <c r="A95" s="2" t="s">
        <v>268</v>
      </c>
      <c r="B95" s="2" t="s">
        <v>166</v>
      </c>
      <c r="C95" s="2" t="s">
        <v>267</v>
      </c>
      <c r="D95" s="2">
        <v>38713</v>
      </c>
      <c r="E95" s="3">
        <v>67354</v>
      </c>
      <c r="F95" s="2">
        <v>1</v>
      </c>
      <c r="G95" s="2"/>
      <c r="H95" s="2"/>
      <c r="I95" s="2"/>
      <c r="J95" s="2"/>
      <c r="K95" s="2"/>
      <c r="L95" s="2"/>
    </row>
    <row r="96" spans="1:12">
      <c r="A96" s="2" t="s">
        <v>269</v>
      </c>
      <c r="B96" s="2" t="s">
        <v>163</v>
      </c>
      <c r="C96" s="2" t="s">
        <v>270</v>
      </c>
      <c r="D96" s="2">
        <v>42584</v>
      </c>
      <c r="E96" s="3">
        <v>110214</v>
      </c>
      <c r="F96" s="2">
        <v>4</v>
      </c>
      <c r="G96" s="2"/>
      <c r="H96" s="2"/>
      <c r="I96" s="2"/>
      <c r="J96" s="2"/>
      <c r="K96" s="2"/>
      <c r="L96" s="2"/>
    </row>
    <row r="97" spans="1:12">
      <c r="A97" s="2" t="s">
        <v>271</v>
      </c>
      <c r="B97" s="2" t="s">
        <v>166</v>
      </c>
      <c r="C97" s="2" t="s">
        <v>270</v>
      </c>
      <c r="D97" s="2">
        <v>38041</v>
      </c>
      <c r="E97" s="3">
        <v>82705</v>
      </c>
      <c r="F97" s="2">
        <v>5</v>
      </c>
      <c r="G97" s="2"/>
      <c r="H97" s="2"/>
      <c r="I97" s="2"/>
      <c r="J97" s="2"/>
      <c r="K97" s="2"/>
      <c r="L97" s="2"/>
    </row>
    <row r="98" spans="1:12">
      <c r="A98" s="2" t="s">
        <v>272</v>
      </c>
      <c r="B98" s="2" t="s">
        <v>166</v>
      </c>
      <c r="C98" s="2" t="s">
        <v>270</v>
      </c>
      <c r="D98" s="2">
        <v>41083</v>
      </c>
      <c r="E98" s="3">
        <v>78962</v>
      </c>
      <c r="F98" s="2">
        <v>4</v>
      </c>
      <c r="G98" s="2"/>
      <c r="H98" s="2"/>
      <c r="I98" s="2"/>
      <c r="J98" s="2"/>
      <c r="K98" s="2"/>
      <c r="L98" s="2"/>
    </row>
    <row r="99" spans="1:12">
      <c r="A99" s="2" t="s">
        <v>273</v>
      </c>
      <c r="B99" s="2" t="s">
        <v>166</v>
      </c>
      <c r="C99" s="2" t="s">
        <v>270</v>
      </c>
      <c r="D99" s="2">
        <v>36257</v>
      </c>
      <c r="E99" s="3">
        <v>67847</v>
      </c>
      <c r="F99" s="2">
        <v>4</v>
      </c>
      <c r="G99" s="2"/>
      <c r="H99" s="2"/>
      <c r="I99" s="2"/>
      <c r="J99" s="2"/>
      <c r="K99" s="2"/>
      <c r="L99" s="2"/>
    </row>
    <row r="100" spans="1:12">
      <c r="A100" s="2" t="s">
        <v>274</v>
      </c>
      <c r="B100" s="2" t="s">
        <v>166</v>
      </c>
      <c r="C100" s="2" t="s">
        <v>270</v>
      </c>
      <c r="D100" s="2">
        <v>38794</v>
      </c>
      <c r="E100" s="3">
        <v>121407</v>
      </c>
      <c r="F100" s="2">
        <v>2</v>
      </c>
      <c r="G100" s="2"/>
      <c r="H100" s="2"/>
      <c r="I100" s="2"/>
      <c r="J100" s="2"/>
      <c r="K100" s="2"/>
      <c r="L100" s="2"/>
    </row>
    <row r="101" spans="1:12">
      <c r="A101" s="2" t="s">
        <v>275</v>
      </c>
      <c r="B101" s="2" t="s">
        <v>163</v>
      </c>
      <c r="C101" s="2" t="s">
        <v>270</v>
      </c>
      <c r="D101" s="2">
        <v>38361</v>
      </c>
      <c r="E101" s="3">
        <v>112766</v>
      </c>
      <c r="F101" s="2">
        <v>3</v>
      </c>
      <c r="G101" s="2"/>
      <c r="H101" s="2"/>
      <c r="I101" s="2"/>
      <c r="J101" s="2"/>
      <c r="K101" s="2"/>
      <c r="L101" s="2"/>
    </row>
    <row r="102" spans="1:12">
      <c r="A102" s="2" t="s">
        <v>276</v>
      </c>
      <c r="B102" s="2" t="s">
        <v>166</v>
      </c>
      <c r="C102" s="2" t="s">
        <v>270</v>
      </c>
      <c r="D102" s="2">
        <v>37610</v>
      </c>
      <c r="E102" s="3">
        <v>43879</v>
      </c>
      <c r="F102" s="2">
        <v>5</v>
      </c>
      <c r="G102" s="2"/>
      <c r="H102" s="2"/>
      <c r="I102" s="2"/>
      <c r="J102" s="2"/>
      <c r="K102" s="2"/>
      <c r="L102" s="2"/>
    </row>
    <row r="103" spans="1:12">
      <c r="A103" s="2" t="s">
        <v>277</v>
      </c>
      <c r="B103" s="2" t="s">
        <v>163</v>
      </c>
      <c r="C103" s="2" t="s">
        <v>270</v>
      </c>
      <c r="D103" s="2">
        <v>42391</v>
      </c>
      <c r="E103" s="3">
        <v>73791</v>
      </c>
      <c r="F103" s="2">
        <v>3</v>
      </c>
      <c r="G103" s="2"/>
      <c r="H103" s="2"/>
      <c r="I103" s="2"/>
      <c r="J103" s="2"/>
      <c r="K103" s="2"/>
      <c r="L103" s="2"/>
    </row>
    <row r="104" spans="1:12">
      <c r="A104" s="2" t="s">
        <v>278</v>
      </c>
      <c r="B104" s="2" t="s">
        <v>163</v>
      </c>
      <c r="C104" s="2" t="s">
        <v>270</v>
      </c>
      <c r="D104" s="2">
        <v>38260</v>
      </c>
      <c r="E104" s="3">
        <v>118625</v>
      </c>
      <c r="F104" s="2">
        <v>5</v>
      </c>
      <c r="G104" s="2"/>
      <c r="H104" s="2"/>
      <c r="I104" s="2"/>
      <c r="J104" s="2"/>
      <c r="K104" s="2"/>
      <c r="L104" s="2"/>
    </row>
    <row r="105" spans="1:12">
      <c r="A105" s="2" t="s">
        <v>279</v>
      </c>
      <c r="B105" s="2" t="s">
        <v>166</v>
      </c>
      <c r="C105" s="2" t="s">
        <v>270</v>
      </c>
      <c r="D105" s="2">
        <v>41903</v>
      </c>
      <c r="E105" s="3">
        <v>133844</v>
      </c>
      <c r="F105" s="2">
        <v>5</v>
      </c>
      <c r="G105" s="2"/>
      <c r="H105" s="2"/>
      <c r="I105" s="2"/>
      <c r="J105" s="2"/>
      <c r="K105" s="2"/>
      <c r="L105" s="2"/>
    </row>
    <row r="106" spans="1:12">
      <c r="A106" s="2" t="s">
        <v>280</v>
      </c>
      <c r="B106" s="2" t="s">
        <v>163</v>
      </c>
      <c r="C106" s="2" t="s">
        <v>270</v>
      </c>
      <c r="D106" s="2">
        <v>42874</v>
      </c>
      <c r="E106" s="3">
        <v>69984</v>
      </c>
      <c r="F106" s="2">
        <v>2</v>
      </c>
      <c r="G106" s="2"/>
      <c r="H106" s="2"/>
      <c r="I106" s="2"/>
      <c r="J106" s="2"/>
      <c r="K106" s="2"/>
      <c r="L106" s="2"/>
    </row>
    <row r="107" spans="1:12">
      <c r="A107" s="2" t="s">
        <v>281</v>
      </c>
      <c r="B107" s="2" t="s">
        <v>163</v>
      </c>
      <c r="C107" s="2" t="s">
        <v>270</v>
      </c>
      <c r="D107" s="2">
        <v>39051</v>
      </c>
      <c r="E107" s="3">
        <v>106772</v>
      </c>
      <c r="F107" s="2">
        <v>4</v>
      </c>
      <c r="G107" s="2"/>
      <c r="H107" s="2"/>
      <c r="I107" s="2"/>
      <c r="J107" s="2"/>
      <c r="K107" s="2"/>
      <c r="L107" s="2"/>
    </row>
    <row r="108" spans="1:12">
      <c r="A108" s="2" t="s">
        <v>282</v>
      </c>
      <c r="B108" s="2" t="s">
        <v>166</v>
      </c>
      <c r="C108" s="2" t="s">
        <v>270</v>
      </c>
      <c r="D108" s="2">
        <v>39054</v>
      </c>
      <c r="E108" s="3">
        <v>102537</v>
      </c>
      <c r="F108" s="2">
        <v>1</v>
      </c>
      <c r="G108" s="2"/>
      <c r="H108" s="2"/>
      <c r="I108" s="2"/>
      <c r="J108" s="2"/>
      <c r="K108" s="2"/>
      <c r="L108" s="2"/>
    </row>
    <row r="109" spans="1:12">
      <c r="A109" s="2" t="s">
        <v>283</v>
      </c>
      <c r="B109" s="2" t="s">
        <v>163</v>
      </c>
      <c r="C109" s="2" t="s">
        <v>270</v>
      </c>
      <c r="D109" s="2">
        <v>39754</v>
      </c>
      <c r="E109" s="3">
        <v>62343</v>
      </c>
      <c r="F109" s="2">
        <v>2</v>
      </c>
      <c r="G109" s="2"/>
      <c r="H109" s="2"/>
      <c r="I109" s="2"/>
      <c r="J109" s="2"/>
      <c r="K109" s="2"/>
      <c r="L109" s="2"/>
    </row>
    <row r="110" spans="1:12">
      <c r="A110" s="2" t="s">
        <v>284</v>
      </c>
      <c r="B110" s="2" t="s">
        <v>166</v>
      </c>
      <c r="C110" s="2" t="s">
        <v>270</v>
      </c>
      <c r="D110" s="2">
        <v>42218</v>
      </c>
      <c r="E110" s="3">
        <v>116588</v>
      </c>
      <c r="F110" s="2">
        <v>5</v>
      </c>
      <c r="G110" s="2"/>
      <c r="H110" s="2"/>
      <c r="I110" s="2"/>
      <c r="J110" s="2"/>
      <c r="K110" s="2"/>
      <c r="L110" s="2"/>
    </row>
    <row r="111" spans="1:12">
      <c r="A111" s="2" t="s">
        <v>285</v>
      </c>
      <c r="B111" s="2" t="s">
        <v>163</v>
      </c>
      <c r="C111" s="2" t="s">
        <v>270</v>
      </c>
      <c r="D111" s="2">
        <v>36676</v>
      </c>
      <c r="E111" s="3">
        <v>145584</v>
      </c>
      <c r="F111" s="2">
        <v>4</v>
      </c>
      <c r="G111" s="2"/>
      <c r="H111" s="2"/>
      <c r="I111" s="2"/>
      <c r="J111" s="2"/>
      <c r="K111" s="2"/>
      <c r="L111" s="2"/>
    </row>
    <row r="112" spans="1:12">
      <c r="A112" s="2" t="s">
        <v>286</v>
      </c>
      <c r="B112" s="2" t="s">
        <v>166</v>
      </c>
      <c r="C112" s="2" t="s">
        <v>270</v>
      </c>
      <c r="D112" s="2">
        <v>41233</v>
      </c>
      <c r="E112" s="3">
        <v>91209</v>
      </c>
      <c r="F112" s="2">
        <v>2</v>
      </c>
      <c r="G112" s="2"/>
      <c r="H112" s="2"/>
      <c r="I112" s="2"/>
      <c r="J112" s="2"/>
      <c r="K112" s="2"/>
      <c r="L112" s="2"/>
    </row>
    <row r="113" spans="1:12">
      <c r="A113" s="2" t="s">
        <v>287</v>
      </c>
      <c r="B113" s="2" t="s">
        <v>163</v>
      </c>
      <c r="C113" s="2" t="s">
        <v>270</v>
      </c>
      <c r="D113" s="2">
        <v>41093</v>
      </c>
      <c r="E113" s="3">
        <v>136917</v>
      </c>
      <c r="F113" s="2">
        <v>4</v>
      </c>
      <c r="G113" s="2"/>
      <c r="H113" s="2"/>
      <c r="I113" s="2"/>
      <c r="J113" s="2"/>
      <c r="K113" s="2"/>
      <c r="L113" s="2"/>
    </row>
    <row r="114" spans="1:12">
      <c r="A114" s="2" t="s">
        <v>288</v>
      </c>
      <c r="B114" s="2" t="s">
        <v>166</v>
      </c>
      <c r="C114" s="2" t="s">
        <v>270</v>
      </c>
      <c r="D114" s="2">
        <v>41646</v>
      </c>
      <c r="E114" s="3">
        <v>52619</v>
      </c>
      <c r="F114" s="2">
        <v>5</v>
      </c>
      <c r="G114" s="2"/>
      <c r="H114" s="2"/>
      <c r="I114" s="2"/>
      <c r="J114" s="2"/>
      <c r="K114" s="2"/>
      <c r="L114" s="2"/>
    </row>
    <row r="115" spans="1:12">
      <c r="A115" s="2" t="s">
        <v>289</v>
      </c>
      <c r="B115" s="2" t="s">
        <v>166</v>
      </c>
      <c r="C115" s="2" t="s">
        <v>270</v>
      </c>
      <c r="D115" s="2">
        <v>36277</v>
      </c>
      <c r="E115" s="3">
        <v>50412</v>
      </c>
      <c r="F115" s="2">
        <v>2</v>
      </c>
      <c r="G115" s="2"/>
      <c r="H115" s="2"/>
      <c r="I115" s="2"/>
      <c r="J115" s="2"/>
      <c r="K115" s="2"/>
      <c r="L115" s="2"/>
    </row>
    <row r="116" spans="1:12">
      <c r="A116" s="2" t="s">
        <v>290</v>
      </c>
      <c r="B116" s="2" t="s">
        <v>166</v>
      </c>
      <c r="C116" s="2" t="s">
        <v>270</v>
      </c>
      <c r="D116" s="2">
        <v>43493</v>
      </c>
      <c r="E116" s="3">
        <v>52899</v>
      </c>
      <c r="F116" s="2">
        <v>5</v>
      </c>
      <c r="G116" s="2"/>
      <c r="H116" s="2"/>
      <c r="I116" s="2"/>
      <c r="J116" s="2"/>
      <c r="K116" s="2"/>
      <c r="L116" s="2"/>
    </row>
    <row r="117" spans="1:12">
      <c r="A117" s="2" t="s">
        <v>291</v>
      </c>
      <c r="B117" s="2" t="s">
        <v>163</v>
      </c>
      <c r="C117" s="2" t="s">
        <v>270</v>
      </c>
      <c r="D117" s="2">
        <v>39322</v>
      </c>
      <c r="E117" s="3">
        <v>131315</v>
      </c>
      <c r="F117" s="2">
        <v>5</v>
      </c>
      <c r="G117" s="2"/>
      <c r="H117" s="2"/>
      <c r="I117" s="2"/>
      <c r="J117" s="2"/>
      <c r="K117" s="2"/>
      <c r="L117" s="2"/>
    </row>
    <row r="118" spans="1:12">
      <c r="A118" s="2" t="s">
        <v>292</v>
      </c>
      <c r="B118" s="2" t="s">
        <v>163</v>
      </c>
      <c r="C118" s="2" t="s">
        <v>270</v>
      </c>
      <c r="D118" s="2">
        <v>37022</v>
      </c>
      <c r="E118" s="3">
        <v>58212</v>
      </c>
      <c r="F118" s="2">
        <v>3</v>
      </c>
      <c r="G118" s="2"/>
      <c r="H118" s="2"/>
      <c r="I118" s="2"/>
      <c r="J118" s="2"/>
      <c r="K118" s="2"/>
      <c r="L118" s="2"/>
    </row>
    <row r="119" spans="1:12">
      <c r="A119" s="2" t="s">
        <v>293</v>
      </c>
      <c r="B119" s="2" t="s">
        <v>163</v>
      </c>
      <c r="C119" s="2" t="s">
        <v>270</v>
      </c>
      <c r="D119" s="2">
        <v>36462</v>
      </c>
      <c r="E119" s="3">
        <v>58847</v>
      </c>
      <c r="F119" s="2">
        <v>2</v>
      </c>
      <c r="G119" s="2"/>
      <c r="H119" s="2"/>
      <c r="I119" s="2"/>
      <c r="J119" s="2"/>
      <c r="K119" s="2"/>
      <c r="L119" s="2"/>
    </row>
    <row r="120" spans="1:12">
      <c r="A120" s="2" t="s">
        <v>294</v>
      </c>
      <c r="B120" s="2" t="s">
        <v>166</v>
      </c>
      <c r="C120" s="2" t="s">
        <v>270</v>
      </c>
      <c r="D120" s="2">
        <v>42671</v>
      </c>
      <c r="E120" s="3">
        <v>130886</v>
      </c>
      <c r="F120" s="2">
        <v>1</v>
      </c>
      <c r="G120" s="2"/>
      <c r="H120" s="2"/>
      <c r="I120" s="2"/>
      <c r="J120" s="2"/>
      <c r="K120" s="2"/>
      <c r="L120" s="2"/>
    </row>
    <row r="121" spans="1:12">
      <c r="A121" s="2" t="s">
        <v>295</v>
      </c>
      <c r="B121" s="2" t="s">
        <v>163</v>
      </c>
      <c r="C121" s="2" t="s">
        <v>270</v>
      </c>
      <c r="D121" s="2">
        <v>37201</v>
      </c>
      <c r="E121" s="3">
        <v>69863</v>
      </c>
      <c r="F121" s="2">
        <v>3</v>
      </c>
      <c r="G121" s="2"/>
      <c r="H121" s="2"/>
      <c r="I121" s="2"/>
      <c r="J121" s="2"/>
      <c r="K121" s="2"/>
      <c r="L121" s="2"/>
    </row>
    <row r="122" spans="1:12">
      <c r="A122" s="2" t="s">
        <v>296</v>
      </c>
      <c r="B122" s="2" t="s">
        <v>166</v>
      </c>
      <c r="C122" s="2" t="s">
        <v>270</v>
      </c>
      <c r="D122" s="2">
        <v>43480</v>
      </c>
      <c r="E122" s="3">
        <v>58950</v>
      </c>
      <c r="F122" s="2">
        <v>5</v>
      </c>
      <c r="G122" s="2"/>
      <c r="H122" s="2"/>
      <c r="I122" s="2"/>
      <c r="J122" s="2"/>
      <c r="K122" s="2"/>
      <c r="L122" s="2"/>
    </row>
    <row r="123" spans="1:12">
      <c r="A123" s="2" t="s">
        <v>297</v>
      </c>
      <c r="B123" s="2" t="s">
        <v>166</v>
      </c>
      <c r="C123" s="2" t="s">
        <v>270</v>
      </c>
      <c r="D123" s="2">
        <v>38825</v>
      </c>
      <c r="E123" s="3">
        <v>90055</v>
      </c>
      <c r="F123" s="2">
        <v>4</v>
      </c>
      <c r="G123" s="2"/>
      <c r="H123" s="2"/>
      <c r="I123" s="2"/>
      <c r="J123" s="2"/>
      <c r="K123" s="2"/>
      <c r="L123" s="2"/>
    </row>
    <row r="124" spans="1:12">
      <c r="A124" s="2" t="s">
        <v>298</v>
      </c>
      <c r="B124" s="2" t="s">
        <v>166</v>
      </c>
      <c r="C124" s="2" t="s">
        <v>270</v>
      </c>
      <c r="D124" s="2">
        <v>42910</v>
      </c>
      <c r="E124" s="3">
        <v>88475</v>
      </c>
      <c r="F124" s="2">
        <v>4</v>
      </c>
      <c r="G124" s="2"/>
      <c r="H124" s="2"/>
      <c r="I124" s="2"/>
      <c r="J124" s="2"/>
      <c r="K124" s="2"/>
      <c r="L124" s="2"/>
    </row>
    <row r="125" spans="1:12">
      <c r="A125" s="2" t="s">
        <v>299</v>
      </c>
      <c r="B125" s="2" t="s">
        <v>166</v>
      </c>
      <c r="C125" s="2" t="s">
        <v>270</v>
      </c>
      <c r="D125" s="2">
        <v>38796</v>
      </c>
      <c r="E125" s="3">
        <v>53101</v>
      </c>
      <c r="F125" s="2">
        <v>5</v>
      </c>
      <c r="G125" s="2"/>
      <c r="H125" s="2"/>
      <c r="I125" s="2"/>
      <c r="J125" s="2"/>
      <c r="K125" s="2"/>
      <c r="L125" s="2"/>
    </row>
    <row r="126" spans="1:12">
      <c r="A126" s="2" t="s">
        <v>300</v>
      </c>
      <c r="B126" s="2" t="s">
        <v>163</v>
      </c>
      <c r="C126" s="2" t="s">
        <v>270</v>
      </c>
      <c r="D126" s="2">
        <v>40900</v>
      </c>
      <c r="E126" s="3">
        <v>120906</v>
      </c>
      <c r="F126" s="2">
        <v>3</v>
      </c>
      <c r="G126" s="2"/>
      <c r="H126" s="2"/>
      <c r="I126" s="2"/>
      <c r="J126" s="2"/>
      <c r="K126" s="2"/>
      <c r="L126" s="2"/>
    </row>
    <row r="127" spans="1:12">
      <c r="A127" s="2" t="s">
        <v>301</v>
      </c>
      <c r="B127" s="2" t="s">
        <v>163</v>
      </c>
      <c r="C127" s="2" t="s">
        <v>270</v>
      </c>
      <c r="D127" s="2">
        <v>38972</v>
      </c>
      <c r="E127" s="3">
        <v>105867</v>
      </c>
      <c r="F127" s="2">
        <v>1</v>
      </c>
      <c r="G127" s="2"/>
      <c r="H127" s="2"/>
      <c r="I127" s="2"/>
      <c r="J127" s="2"/>
      <c r="K127" s="2"/>
      <c r="L127" s="2"/>
    </row>
    <row r="128" spans="1:12">
      <c r="A128" s="2" t="s">
        <v>302</v>
      </c>
      <c r="B128" s="2" t="s">
        <v>163</v>
      </c>
      <c r="C128" s="2" t="s">
        <v>270</v>
      </c>
      <c r="D128" s="2">
        <v>39186</v>
      </c>
      <c r="E128" s="3">
        <v>79542</v>
      </c>
      <c r="F128" s="2">
        <v>1</v>
      </c>
      <c r="G128" s="2"/>
      <c r="H128" s="2"/>
      <c r="I128" s="2"/>
      <c r="J128" s="2"/>
      <c r="K128" s="2"/>
      <c r="L128" s="2"/>
    </row>
    <row r="129" spans="1:12">
      <c r="A129" s="2" t="s">
        <v>303</v>
      </c>
      <c r="B129" s="2" t="s">
        <v>166</v>
      </c>
      <c r="C129" s="2" t="s">
        <v>270</v>
      </c>
      <c r="D129" s="2">
        <v>37514</v>
      </c>
      <c r="E129" s="3">
        <v>102481</v>
      </c>
      <c r="F129" s="2">
        <v>4</v>
      </c>
      <c r="G129" s="2"/>
      <c r="H129" s="2"/>
      <c r="I129" s="2"/>
      <c r="J129" s="2"/>
      <c r="K129" s="2"/>
      <c r="L129" s="2"/>
    </row>
    <row r="130" spans="1:12">
      <c r="A130" s="2" t="s">
        <v>304</v>
      </c>
      <c r="B130" s="2" t="s">
        <v>163</v>
      </c>
      <c r="C130" s="2" t="s">
        <v>270</v>
      </c>
      <c r="D130" s="2">
        <v>40022</v>
      </c>
      <c r="E130" s="3">
        <v>59684</v>
      </c>
      <c r="F130" s="2">
        <v>4</v>
      </c>
      <c r="G130" s="2"/>
      <c r="H130" s="2"/>
      <c r="I130" s="2"/>
      <c r="J130" s="2"/>
      <c r="K130" s="2"/>
      <c r="L130" s="2"/>
    </row>
    <row r="131" spans="1:12">
      <c r="A131" s="2" t="s">
        <v>305</v>
      </c>
      <c r="B131" s="2" t="s">
        <v>166</v>
      </c>
      <c r="C131" s="2" t="s">
        <v>270</v>
      </c>
      <c r="D131" s="2">
        <v>36910</v>
      </c>
      <c r="E131" s="3">
        <v>65370</v>
      </c>
      <c r="F131" s="2">
        <v>2</v>
      </c>
      <c r="G131" s="2"/>
      <c r="H131" s="2"/>
      <c r="I131" s="2"/>
      <c r="J131" s="2"/>
      <c r="K131" s="2"/>
      <c r="L131" s="2"/>
    </row>
    <row r="132" spans="1:12">
      <c r="A132" s="2" t="s">
        <v>306</v>
      </c>
      <c r="B132" s="2" t="s">
        <v>163</v>
      </c>
      <c r="C132" s="2" t="s">
        <v>270</v>
      </c>
      <c r="D132" s="2">
        <v>37010</v>
      </c>
      <c r="E132" s="3">
        <v>158571</v>
      </c>
      <c r="F132" s="2">
        <v>5</v>
      </c>
      <c r="G132" s="2"/>
      <c r="H132" s="2"/>
      <c r="I132" s="2"/>
      <c r="J132" s="2"/>
      <c r="K132" s="2"/>
      <c r="L132" s="2"/>
    </row>
    <row r="133" spans="1:12">
      <c r="A133" s="2" t="s">
        <v>307</v>
      </c>
      <c r="B133" s="2" t="s">
        <v>163</v>
      </c>
      <c r="C133" s="2" t="s">
        <v>270</v>
      </c>
      <c r="D133" s="2">
        <v>38783</v>
      </c>
      <c r="E133" s="3">
        <v>118112</v>
      </c>
      <c r="F133" s="2">
        <v>1</v>
      </c>
      <c r="G133" s="2"/>
      <c r="H133" s="2"/>
      <c r="I133" s="2"/>
      <c r="J133" s="2"/>
      <c r="K133" s="2"/>
      <c r="L133" s="2"/>
    </row>
    <row r="134" spans="1:12">
      <c r="A134" s="2" t="s">
        <v>308</v>
      </c>
      <c r="B134" s="2" t="s">
        <v>163</v>
      </c>
      <c r="C134" s="2" t="s">
        <v>270</v>
      </c>
      <c r="D134" s="2">
        <v>39391</v>
      </c>
      <c r="E134" s="3">
        <v>131990</v>
      </c>
      <c r="F134" s="2">
        <v>3</v>
      </c>
      <c r="G134" s="2"/>
      <c r="H134" s="2"/>
      <c r="I134" s="2"/>
      <c r="J134" s="2"/>
      <c r="K134" s="2"/>
      <c r="L134" s="2"/>
    </row>
    <row r="135" spans="1:12">
      <c r="A135" s="2" t="s">
        <v>309</v>
      </c>
      <c r="B135" s="2" t="s">
        <v>163</v>
      </c>
      <c r="C135" s="2" t="s">
        <v>270</v>
      </c>
      <c r="D135" s="2">
        <v>36577</v>
      </c>
      <c r="E135" s="3">
        <v>102249</v>
      </c>
      <c r="F135" s="2">
        <v>5</v>
      </c>
      <c r="G135" s="2"/>
      <c r="H135" s="2"/>
      <c r="I135" s="2"/>
      <c r="J135" s="2"/>
      <c r="K135" s="2"/>
      <c r="L135" s="2"/>
    </row>
    <row r="136" spans="1:12">
      <c r="A136" s="2" t="s">
        <v>310</v>
      </c>
      <c r="B136" s="2" t="s">
        <v>163</v>
      </c>
      <c r="C136" s="2" t="s">
        <v>270</v>
      </c>
      <c r="D136" s="2">
        <v>35968</v>
      </c>
      <c r="E136" s="3">
        <v>57065</v>
      </c>
      <c r="F136" s="2">
        <v>3</v>
      </c>
      <c r="G136" s="2"/>
      <c r="H136" s="2"/>
      <c r="I136" s="2"/>
      <c r="J136" s="2"/>
      <c r="K136" s="2"/>
      <c r="L136" s="2"/>
    </row>
    <row r="137" spans="1:12">
      <c r="A137" s="2" t="s">
        <v>311</v>
      </c>
      <c r="B137" s="2" t="s">
        <v>163</v>
      </c>
      <c r="C137" s="2" t="s">
        <v>270</v>
      </c>
      <c r="D137" s="2">
        <v>42273</v>
      </c>
      <c r="E137" s="3">
        <v>127157</v>
      </c>
      <c r="F137" s="2">
        <v>1</v>
      </c>
      <c r="G137" s="2"/>
      <c r="H137" s="2"/>
      <c r="I137" s="2"/>
      <c r="J137" s="2"/>
      <c r="K137" s="2"/>
      <c r="L137" s="2"/>
    </row>
    <row r="138" spans="1:12">
      <c r="A138" s="2" t="s">
        <v>312</v>
      </c>
      <c r="B138" s="2" t="s">
        <v>163</v>
      </c>
      <c r="C138" s="2" t="s">
        <v>270</v>
      </c>
      <c r="D138" s="2">
        <v>43022</v>
      </c>
      <c r="E138" s="3">
        <v>131450</v>
      </c>
      <c r="F138" s="2">
        <v>5</v>
      </c>
      <c r="G138" s="2"/>
      <c r="H138" s="2"/>
      <c r="I138" s="2"/>
      <c r="J138" s="2"/>
      <c r="K138" s="2"/>
      <c r="L138" s="2"/>
    </row>
    <row r="139" spans="1:12">
      <c r="A139" s="2" t="s">
        <v>313</v>
      </c>
      <c r="B139" s="2" t="s">
        <v>166</v>
      </c>
      <c r="C139" s="2" t="s">
        <v>270</v>
      </c>
      <c r="D139" s="2">
        <v>36358</v>
      </c>
      <c r="E139" s="3">
        <v>59757</v>
      </c>
      <c r="F139" s="2">
        <v>3</v>
      </c>
      <c r="G139" s="2"/>
      <c r="H139" s="2"/>
      <c r="I139" s="2"/>
      <c r="J139" s="2"/>
      <c r="K139" s="2"/>
      <c r="L139" s="2"/>
    </row>
    <row r="140" spans="1:12">
      <c r="A140" s="2" t="s">
        <v>314</v>
      </c>
      <c r="B140" s="2" t="s">
        <v>166</v>
      </c>
      <c r="C140" s="2" t="s">
        <v>270</v>
      </c>
      <c r="D140" s="2">
        <v>39518</v>
      </c>
      <c r="E140" s="3">
        <v>56776</v>
      </c>
      <c r="F140" s="2">
        <v>3</v>
      </c>
      <c r="G140" s="2"/>
      <c r="H140" s="2"/>
      <c r="I140" s="2"/>
      <c r="J140" s="2"/>
      <c r="K140" s="2"/>
      <c r="L140" s="2"/>
    </row>
    <row r="141" spans="1:12">
      <c r="A141" s="2" t="s">
        <v>315</v>
      </c>
      <c r="B141" s="2" t="s">
        <v>166</v>
      </c>
      <c r="C141" s="2" t="s">
        <v>270</v>
      </c>
      <c r="D141" s="2">
        <v>36565</v>
      </c>
      <c r="E141" s="3">
        <v>112129</v>
      </c>
      <c r="F141" s="2">
        <v>3</v>
      </c>
      <c r="G141" s="2"/>
      <c r="H141" s="2"/>
      <c r="I141" s="2"/>
      <c r="J141" s="2"/>
      <c r="K141" s="2"/>
      <c r="L141" s="2"/>
    </row>
    <row r="142" spans="1:12">
      <c r="A142" s="2" t="s">
        <v>316</v>
      </c>
      <c r="B142" s="2" t="s">
        <v>166</v>
      </c>
      <c r="C142" s="2" t="s">
        <v>270</v>
      </c>
      <c r="D142" s="2">
        <v>43326</v>
      </c>
      <c r="E142" s="3">
        <v>100016</v>
      </c>
      <c r="F142" s="2">
        <v>4</v>
      </c>
      <c r="G142" s="2"/>
      <c r="H142" s="2"/>
      <c r="I142" s="2"/>
      <c r="J142" s="2"/>
      <c r="K142" s="2"/>
      <c r="L142" s="2"/>
    </row>
    <row r="143" spans="1:12">
      <c r="A143" s="2" t="s">
        <v>317</v>
      </c>
      <c r="B143" s="2" t="s">
        <v>166</v>
      </c>
      <c r="C143" s="2" t="s">
        <v>270</v>
      </c>
      <c r="D143" s="2">
        <v>39270</v>
      </c>
      <c r="E143" s="3">
        <v>70771</v>
      </c>
      <c r="F143" s="2">
        <v>3</v>
      </c>
      <c r="G143" s="2"/>
      <c r="H143" s="2"/>
      <c r="I143" s="2"/>
      <c r="J143" s="2"/>
      <c r="K143" s="2"/>
      <c r="L143" s="2"/>
    </row>
    <row r="144" spans="1:12">
      <c r="A144" s="2" t="s">
        <v>318</v>
      </c>
      <c r="B144" s="2" t="s">
        <v>166</v>
      </c>
      <c r="C144" s="2" t="s">
        <v>270</v>
      </c>
      <c r="D144" s="2">
        <v>38777</v>
      </c>
      <c r="E144" s="3">
        <v>66031</v>
      </c>
      <c r="F144" s="2">
        <v>2</v>
      </c>
      <c r="G144" s="2"/>
      <c r="H144" s="2"/>
      <c r="I144" s="2"/>
      <c r="J144" s="2"/>
      <c r="K144" s="2"/>
      <c r="L144" s="2"/>
    </row>
    <row r="145" spans="1:12">
      <c r="A145" s="2" t="s">
        <v>319</v>
      </c>
      <c r="B145" s="2" t="s">
        <v>163</v>
      </c>
      <c r="C145" s="2" t="s">
        <v>270</v>
      </c>
      <c r="D145" s="2">
        <v>36280</v>
      </c>
      <c r="E145" s="3">
        <v>81770</v>
      </c>
      <c r="F145" s="2">
        <v>3</v>
      </c>
      <c r="G145" s="2"/>
      <c r="H145" s="2"/>
      <c r="I145" s="2"/>
      <c r="J145" s="2"/>
      <c r="K145" s="2"/>
      <c r="L145" s="2"/>
    </row>
    <row r="146" spans="1:12">
      <c r="A146" s="2" t="s">
        <v>320</v>
      </c>
      <c r="B146" s="2" t="s">
        <v>163</v>
      </c>
      <c r="C146" s="2" t="s">
        <v>270</v>
      </c>
      <c r="D146" s="2">
        <v>39073</v>
      </c>
      <c r="E146" s="3">
        <v>141183</v>
      </c>
      <c r="F146" s="2">
        <v>1</v>
      </c>
      <c r="G146" s="2"/>
      <c r="H146" s="2"/>
      <c r="I146" s="2"/>
      <c r="J146" s="2"/>
      <c r="K146" s="2"/>
      <c r="L146" s="2"/>
    </row>
    <row r="147" spans="1:12">
      <c r="A147" s="2" t="s">
        <v>321</v>
      </c>
      <c r="B147" s="2" t="s">
        <v>163</v>
      </c>
      <c r="C147" s="2" t="s">
        <v>270</v>
      </c>
      <c r="D147" s="2">
        <v>38153</v>
      </c>
      <c r="E147" s="3">
        <v>72509</v>
      </c>
      <c r="F147" s="2">
        <v>3</v>
      </c>
      <c r="G147" s="2"/>
      <c r="H147" s="2"/>
      <c r="I147" s="2"/>
      <c r="J147" s="2"/>
      <c r="K147" s="2"/>
      <c r="L147" s="2"/>
    </row>
    <row r="148" spans="1:12">
      <c r="A148" s="2" t="s">
        <v>322</v>
      </c>
      <c r="B148" s="2" t="s">
        <v>163</v>
      </c>
      <c r="C148" s="2" t="s">
        <v>270</v>
      </c>
      <c r="D148" s="2">
        <v>41279</v>
      </c>
      <c r="E148" s="3">
        <v>61979</v>
      </c>
      <c r="F148" s="2">
        <v>3</v>
      </c>
      <c r="G148" s="2"/>
      <c r="H148" s="2"/>
      <c r="I148" s="2"/>
      <c r="J148" s="2"/>
      <c r="K148" s="2"/>
      <c r="L148" s="2"/>
    </row>
    <row r="149" spans="1:12">
      <c r="A149" s="2" t="s">
        <v>323</v>
      </c>
      <c r="B149" s="2" t="s">
        <v>163</v>
      </c>
      <c r="C149" s="2" t="s">
        <v>270</v>
      </c>
      <c r="D149" s="2">
        <v>42601</v>
      </c>
      <c r="E149" s="3">
        <v>125834</v>
      </c>
      <c r="F149" s="2">
        <v>3</v>
      </c>
      <c r="G149" s="2"/>
      <c r="H149" s="2"/>
      <c r="I149" s="2"/>
      <c r="J149" s="2"/>
      <c r="K149" s="2"/>
      <c r="L149" s="2"/>
    </row>
    <row r="150" spans="1:12">
      <c r="A150" s="2" t="s">
        <v>324</v>
      </c>
      <c r="B150" s="2" t="s">
        <v>166</v>
      </c>
      <c r="C150" s="2" t="s">
        <v>270</v>
      </c>
      <c r="D150" s="2">
        <v>35984</v>
      </c>
      <c r="E150" s="3">
        <v>89652</v>
      </c>
      <c r="F150" s="2">
        <v>1</v>
      </c>
      <c r="G150" s="2"/>
      <c r="H150" s="2"/>
      <c r="I150" s="2"/>
      <c r="J150" s="2"/>
      <c r="K150" s="2"/>
      <c r="L150" s="2"/>
    </row>
    <row r="151" spans="1:12">
      <c r="A151" s="2" t="s">
        <v>325</v>
      </c>
      <c r="B151" s="2" t="s">
        <v>166</v>
      </c>
      <c r="C151" s="2" t="s">
        <v>270</v>
      </c>
      <c r="D151" s="2">
        <v>43008</v>
      </c>
      <c r="E151" s="3">
        <v>114224</v>
      </c>
      <c r="F151" s="2">
        <v>1</v>
      </c>
      <c r="G151" s="2"/>
      <c r="H151" s="2"/>
      <c r="I151" s="2"/>
      <c r="J151" s="2"/>
      <c r="K151" s="2"/>
      <c r="L151" s="2"/>
    </row>
    <row r="152" spans="1:12">
      <c r="A152" s="2" t="s">
        <v>326</v>
      </c>
      <c r="B152" s="2" t="s">
        <v>166</v>
      </c>
      <c r="C152" s="2" t="s">
        <v>270</v>
      </c>
      <c r="D152" s="2">
        <v>36890</v>
      </c>
      <c r="E152" s="3">
        <v>95646</v>
      </c>
      <c r="F152" s="2">
        <v>1</v>
      </c>
      <c r="G152" s="2"/>
      <c r="H152" s="2"/>
      <c r="I152" s="2"/>
      <c r="J152" s="2"/>
      <c r="K152" s="2"/>
      <c r="L152" s="2"/>
    </row>
    <row r="153" spans="1:12">
      <c r="A153" s="2" t="s">
        <v>327</v>
      </c>
      <c r="B153" s="2" t="s">
        <v>163</v>
      </c>
      <c r="C153" s="2" t="s">
        <v>270</v>
      </c>
      <c r="D153" s="2">
        <v>36316</v>
      </c>
      <c r="E153" s="3">
        <v>119381</v>
      </c>
      <c r="F153" s="2">
        <v>3</v>
      </c>
      <c r="G153" s="2"/>
      <c r="H153" s="2"/>
      <c r="I153" s="2"/>
      <c r="J153" s="2"/>
      <c r="K153" s="2"/>
      <c r="L153" s="2"/>
    </row>
    <row r="154" spans="1:12">
      <c r="A154" s="2" t="s">
        <v>328</v>
      </c>
      <c r="B154" s="2" t="s">
        <v>163</v>
      </c>
      <c r="C154" s="2" t="s">
        <v>270</v>
      </c>
      <c r="D154" s="2">
        <v>36514</v>
      </c>
      <c r="E154" s="3">
        <v>147312</v>
      </c>
      <c r="F154" s="2">
        <v>2</v>
      </c>
      <c r="G154" s="2"/>
      <c r="H154" s="2"/>
      <c r="I154" s="2"/>
      <c r="J154" s="2"/>
      <c r="K154" s="2"/>
      <c r="L154" s="2"/>
    </row>
    <row r="155" spans="1:12">
      <c r="A155" s="2" t="s">
        <v>329</v>
      </c>
      <c r="B155" s="2" t="s">
        <v>166</v>
      </c>
      <c r="C155" s="2" t="s">
        <v>270</v>
      </c>
      <c r="D155" s="2">
        <v>36112</v>
      </c>
      <c r="E155" s="3">
        <v>112039</v>
      </c>
      <c r="F155" s="2">
        <v>5</v>
      </c>
      <c r="G155" s="2"/>
      <c r="H155" s="2"/>
      <c r="I155" s="2"/>
      <c r="J155" s="2"/>
      <c r="K155" s="2"/>
      <c r="L155" s="2"/>
    </row>
    <row r="156" spans="1:12">
      <c r="A156" s="2" t="s">
        <v>330</v>
      </c>
      <c r="B156" s="2" t="s">
        <v>163</v>
      </c>
      <c r="C156" s="2" t="s">
        <v>270</v>
      </c>
      <c r="D156" s="2">
        <v>42639</v>
      </c>
      <c r="E156" s="3">
        <v>127643</v>
      </c>
      <c r="F156" s="2">
        <v>3</v>
      </c>
      <c r="G156" s="2"/>
      <c r="H156" s="2"/>
      <c r="I156" s="2"/>
      <c r="J156" s="2"/>
      <c r="K156" s="2"/>
      <c r="L156" s="2"/>
    </row>
    <row r="157" spans="1:12">
      <c r="A157" s="2" t="s">
        <v>331</v>
      </c>
      <c r="B157" s="2" t="s">
        <v>163</v>
      </c>
      <c r="C157" s="2" t="s">
        <v>270</v>
      </c>
      <c r="D157" s="2">
        <v>41611</v>
      </c>
      <c r="E157" s="3">
        <v>85077</v>
      </c>
      <c r="F157" s="2">
        <v>2</v>
      </c>
      <c r="G157" s="2"/>
      <c r="H157" s="2"/>
      <c r="I157" s="2"/>
      <c r="J157" s="2"/>
      <c r="K157" s="2"/>
      <c r="L157" s="2"/>
    </row>
    <row r="158" spans="1:12">
      <c r="A158" s="2" t="s">
        <v>332</v>
      </c>
      <c r="B158" s="2" t="s">
        <v>166</v>
      </c>
      <c r="C158" s="2" t="s">
        <v>270</v>
      </c>
      <c r="D158" s="2">
        <v>39161</v>
      </c>
      <c r="E158" s="3">
        <v>67006</v>
      </c>
      <c r="F158" s="2">
        <v>1</v>
      </c>
      <c r="G158" s="2"/>
      <c r="H158" s="2"/>
      <c r="I158" s="2"/>
      <c r="J158" s="2"/>
      <c r="K158" s="2"/>
      <c r="L158" s="2"/>
    </row>
    <row r="159" spans="1:12">
      <c r="A159" s="2" t="s">
        <v>333</v>
      </c>
      <c r="B159" s="2" t="s">
        <v>166</v>
      </c>
      <c r="C159" s="2" t="s">
        <v>270</v>
      </c>
      <c r="D159" s="2">
        <v>41352</v>
      </c>
      <c r="E159" s="3">
        <v>94077</v>
      </c>
      <c r="F159" s="2">
        <v>1</v>
      </c>
      <c r="G159" s="2"/>
      <c r="H159" s="2"/>
      <c r="I159" s="2"/>
      <c r="J159" s="2"/>
      <c r="K159" s="2"/>
      <c r="L159" s="2"/>
    </row>
    <row r="160" spans="1:12">
      <c r="A160" s="2" t="s">
        <v>334</v>
      </c>
      <c r="B160" s="2" t="s">
        <v>163</v>
      </c>
      <c r="C160" s="2" t="s">
        <v>270</v>
      </c>
      <c r="D160" s="2">
        <v>38343</v>
      </c>
      <c r="E160" s="3">
        <v>124565</v>
      </c>
      <c r="F160" s="2">
        <v>3</v>
      </c>
      <c r="G160" s="2"/>
      <c r="H160" s="2"/>
      <c r="I160" s="2"/>
      <c r="J160" s="2"/>
      <c r="K160" s="2"/>
      <c r="L160" s="2"/>
    </row>
    <row r="161" spans="1:12">
      <c r="A161" s="2" t="s">
        <v>335</v>
      </c>
      <c r="B161" s="2" t="s">
        <v>163</v>
      </c>
      <c r="C161" s="2" t="s">
        <v>270</v>
      </c>
      <c r="D161" s="2">
        <v>36534</v>
      </c>
      <c r="E161" s="3">
        <v>108324</v>
      </c>
      <c r="F161" s="2">
        <v>2</v>
      </c>
      <c r="G161" s="2"/>
      <c r="H161" s="2"/>
      <c r="I161" s="2"/>
      <c r="J161" s="2"/>
      <c r="K161" s="2"/>
      <c r="L161" s="2"/>
    </row>
    <row r="162" spans="1:12">
      <c r="A162" s="2" t="s">
        <v>336</v>
      </c>
      <c r="B162" s="2" t="s">
        <v>163</v>
      </c>
      <c r="C162" s="2" t="s">
        <v>270</v>
      </c>
      <c r="D162" s="2">
        <v>43434</v>
      </c>
      <c r="E162" s="3">
        <v>128480</v>
      </c>
      <c r="F162" s="2">
        <v>5</v>
      </c>
      <c r="G162" s="2"/>
      <c r="H162" s="2"/>
      <c r="I162" s="2"/>
      <c r="J162" s="2"/>
      <c r="K162" s="2"/>
      <c r="L162" s="2"/>
    </row>
    <row r="163" spans="1:12">
      <c r="A163" s="2" t="s">
        <v>337</v>
      </c>
      <c r="B163" s="2" t="s">
        <v>166</v>
      </c>
      <c r="C163" s="2" t="s">
        <v>270</v>
      </c>
      <c r="D163" s="2">
        <v>37908</v>
      </c>
      <c r="E163" s="3">
        <v>80889</v>
      </c>
      <c r="F163" s="2">
        <v>5</v>
      </c>
      <c r="G163" s="2"/>
      <c r="H163" s="2"/>
      <c r="I163" s="2"/>
      <c r="J163" s="2"/>
      <c r="K163" s="2"/>
      <c r="L163" s="2"/>
    </row>
    <row r="164" spans="1:12">
      <c r="A164" s="2" t="s">
        <v>338</v>
      </c>
      <c r="B164" s="2" t="s">
        <v>163</v>
      </c>
      <c r="C164" s="2" t="s">
        <v>270</v>
      </c>
      <c r="D164" s="2">
        <v>37021</v>
      </c>
      <c r="E164" s="3">
        <v>58266</v>
      </c>
      <c r="F164" s="2">
        <v>4</v>
      </c>
      <c r="G164" s="2"/>
      <c r="H164" s="2"/>
      <c r="I164" s="2"/>
      <c r="J164" s="2"/>
      <c r="K164" s="2"/>
      <c r="L164" s="2"/>
    </row>
    <row r="165" spans="1:12">
      <c r="A165" s="2" t="s">
        <v>339</v>
      </c>
      <c r="B165" s="2" t="s">
        <v>166</v>
      </c>
      <c r="C165" s="2" t="s">
        <v>270</v>
      </c>
      <c r="D165" s="2">
        <v>39752</v>
      </c>
      <c r="E165" s="3">
        <v>52664</v>
      </c>
      <c r="F165" s="2">
        <v>5</v>
      </c>
      <c r="G165" s="2"/>
      <c r="H165" s="2"/>
      <c r="I165" s="2"/>
      <c r="J165" s="2"/>
      <c r="K165" s="2"/>
      <c r="L165" s="2"/>
    </row>
    <row r="166" spans="1:12">
      <c r="A166" s="2" t="s">
        <v>340</v>
      </c>
      <c r="B166" s="2" t="s">
        <v>163</v>
      </c>
      <c r="C166" s="2" t="s">
        <v>270</v>
      </c>
      <c r="D166" s="2">
        <v>38685</v>
      </c>
      <c r="E166" s="3">
        <v>60021</v>
      </c>
      <c r="F166" s="2">
        <v>3</v>
      </c>
      <c r="G166" s="2"/>
      <c r="H166" s="2"/>
      <c r="I166" s="2"/>
      <c r="J166" s="2"/>
      <c r="K166" s="2"/>
      <c r="L166" s="2"/>
    </row>
    <row r="167" spans="1:12">
      <c r="A167" s="2" t="s">
        <v>341</v>
      </c>
      <c r="B167" s="2" t="s">
        <v>163</v>
      </c>
      <c r="C167" s="2" t="s">
        <v>270</v>
      </c>
      <c r="D167" s="2">
        <v>38384</v>
      </c>
      <c r="E167" s="3">
        <v>155007</v>
      </c>
      <c r="F167" s="2">
        <v>3</v>
      </c>
      <c r="G167" s="2"/>
      <c r="H167" s="2"/>
      <c r="I167" s="2"/>
      <c r="J167" s="2"/>
      <c r="K167" s="2"/>
      <c r="L167" s="2"/>
    </row>
    <row r="168" spans="1:12">
      <c r="A168" s="2" t="s">
        <v>342</v>
      </c>
      <c r="B168" s="2" t="s">
        <v>166</v>
      </c>
      <c r="C168" s="2" t="s">
        <v>270</v>
      </c>
      <c r="D168" s="2">
        <v>41677</v>
      </c>
      <c r="E168" s="3">
        <v>51319</v>
      </c>
      <c r="F168" s="2">
        <v>4</v>
      </c>
      <c r="G168" s="2"/>
      <c r="H168" s="2"/>
      <c r="I168" s="2"/>
      <c r="J168" s="2"/>
      <c r="K168" s="2"/>
      <c r="L168" s="2"/>
    </row>
    <row r="169" spans="1:12">
      <c r="A169" s="2" t="s">
        <v>343</v>
      </c>
      <c r="B169" s="2" t="s">
        <v>163</v>
      </c>
      <c r="C169" s="2" t="s">
        <v>270</v>
      </c>
      <c r="D169" s="2">
        <v>38055</v>
      </c>
      <c r="E169" s="3">
        <v>64382</v>
      </c>
      <c r="F169" s="2">
        <v>2</v>
      </c>
      <c r="G169" s="2"/>
      <c r="H169" s="2"/>
      <c r="I169" s="2"/>
      <c r="J169" s="2"/>
      <c r="K169" s="2"/>
      <c r="L169" s="2"/>
    </row>
    <row r="170" spans="1:12">
      <c r="A170" s="2" t="s">
        <v>344</v>
      </c>
      <c r="B170" s="2" t="s">
        <v>166</v>
      </c>
      <c r="C170" s="2" t="s">
        <v>270</v>
      </c>
      <c r="D170" s="2">
        <v>40883</v>
      </c>
      <c r="E170" s="3">
        <v>91074</v>
      </c>
      <c r="F170" s="2">
        <v>5</v>
      </c>
      <c r="G170" s="2"/>
      <c r="H170" s="2"/>
      <c r="I170" s="2"/>
      <c r="J170" s="2"/>
      <c r="K170" s="2"/>
      <c r="L170" s="2"/>
    </row>
    <row r="171" spans="1:12">
      <c r="A171" s="2" t="s">
        <v>345</v>
      </c>
      <c r="B171" s="2" t="s">
        <v>166</v>
      </c>
      <c r="C171" s="2" t="s">
        <v>270</v>
      </c>
      <c r="D171" s="2">
        <v>41145</v>
      </c>
      <c r="E171" s="3">
        <v>56316</v>
      </c>
      <c r="F171" s="2">
        <v>2</v>
      </c>
      <c r="G171" s="2"/>
      <c r="H171" s="2"/>
      <c r="I171" s="2"/>
      <c r="J171" s="2"/>
      <c r="K171" s="2"/>
      <c r="L171" s="2"/>
    </row>
    <row r="172" spans="1:12">
      <c r="A172" s="2" t="s">
        <v>346</v>
      </c>
      <c r="B172" s="2" t="s">
        <v>163</v>
      </c>
      <c r="C172" s="2" t="s">
        <v>270</v>
      </c>
      <c r="D172" s="2">
        <v>36382</v>
      </c>
      <c r="E172" s="3">
        <v>124133</v>
      </c>
      <c r="F172" s="2">
        <v>3</v>
      </c>
      <c r="G172" s="2"/>
      <c r="H172" s="2"/>
      <c r="I172" s="2"/>
      <c r="J172" s="2"/>
      <c r="K172" s="2"/>
      <c r="L172" s="2"/>
    </row>
    <row r="173" spans="1:12">
      <c r="A173" s="2" t="s">
        <v>347</v>
      </c>
      <c r="B173" s="2" t="s">
        <v>166</v>
      </c>
      <c r="C173" s="2" t="s">
        <v>270</v>
      </c>
      <c r="D173" s="2">
        <v>38235</v>
      </c>
      <c r="E173" s="3">
        <v>118919</v>
      </c>
      <c r="F173" s="2">
        <v>2</v>
      </c>
      <c r="G173" s="2"/>
      <c r="H173" s="2"/>
      <c r="I173" s="2"/>
      <c r="J173" s="2"/>
      <c r="K173" s="2"/>
      <c r="L173" s="2"/>
    </row>
    <row r="174" spans="1:12">
      <c r="A174" s="2" t="s">
        <v>348</v>
      </c>
      <c r="B174" s="2" t="s">
        <v>166</v>
      </c>
      <c r="C174" s="2" t="s">
        <v>270</v>
      </c>
      <c r="D174" s="2">
        <v>41184</v>
      </c>
      <c r="E174" s="3">
        <v>46131</v>
      </c>
      <c r="F174" s="2">
        <v>5</v>
      </c>
      <c r="G174" s="2"/>
      <c r="H174" s="2"/>
      <c r="I174" s="2"/>
      <c r="J174" s="2"/>
      <c r="K174" s="2"/>
      <c r="L174" s="2"/>
    </row>
    <row r="175" spans="1:12">
      <c r="A175" s="2" t="s">
        <v>349</v>
      </c>
      <c r="B175" s="2" t="s">
        <v>163</v>
      </c>
      <c r="C175" s="2" t="s">
        <v>270</v>
      </c>
      <c r="D175" s="2">
        <v>41177</v>
      </c>
      <c r="E175" s="3">
        <v>83066</v>
      </c>
      <c r="F175" s="2">
        <v>2</v>
      </c>
      <c r="G175" s="2"/>
      <c r="H175" s="2"/>
      <c r="I175" s="2"/>
      <c r="J175" s="2"/>
      <c r="K175" s="2"/>
      <c r="L175" s="2"/>
    </row>
    <row r="176" spans="1:12">
      <c r="A176" s="2" t="s">
        <v>350</v>
      </c>
      <c r="B176" s="2" t="s">
        <v>163</v>
      </c>
      <c r="C176" s="2" t="s">
        <v>351</v>
      </c>
      <c r="D176" s="2">
        <v>38303</v>
      </c>
      <c r="E176" s="3">
        <v>128304</v>
      </c>
      <c r="F176" s="2">
        <v>4</v>
      </c>
      <c r="G176" s="2"/>
      <c r="H176" s="2"/>
      <c r="I176" s="2"/>
      <c r="J176" s="2"/>
      <c r="K176" s="2"/>
      <c r="L176" s="2"/>
    </row>
    <row r="177" spans="1:12">
      <c r="A177" s="2" t="s">
        <v>352</v>
      </c>
      <c r="B177" s="2" t="s">
        <v>163</v>
      </c>
      <c r="C177" s="2" t="s">
        <v>351</v>
      </c>
      <c r="D177" s="2">
        <v>41363</v>
      </c>
      <c r="E177" s="3">
        <v>96809</v>
      </c>
      <c r="F177" s="2">
        <v>2</v>
      </c>
      <c r="G177" s="2"/>
      <c r="H177" s="2"/>
      <c r="I177" s="2"/>
      <c r="J177" s="2"/>
      <c r="K177" s="2"/>
      <c r="L177" s="2"/>
    </row>
    <row r="178" spans="1:12">
      <c r="A178" s="2" t="s">
        <v>353</v>
      </c>
      <c r="B178" s="2" t="s">
        <v>166</v>
      </c>
      <c r="C178" s="2" t="s">
        <v>351</v>
      </c>
      <c r="D178" s="2">
        <v>41772</v>
      </c>
      <c r="E178" s="3">
        <v>58412</v>
      </c>
      <c r="F178" s="2">
        <v>3</v>
      </c>
      <c r="G178" s="2"/>
      <c r="H178" s="2"/>
      <c r="I178" s="2"/>
      <c r="J178" s="2"/>
      <c r="K178" s="2"/>
      <c r="L178" s="2"/>
    </row>
    <row r="179" spans="1:12">
      <c r="A179" s="2" t="s">
        <v>354</v>
      </c>
      <c r="B179" s="2" t="s">
        <v>166</v>
      </c>
      <c r="C179" s="2" t="s">
        <v>351</v>
      </c>
      <c r="D179" s="2">
        <v>40631</v>
      </c>
      <c r="E179" s="3">
        <v>88206</v>
      </c>
      <c r="F179" s="2">
        <v>5</v>
      </c>
      <c r="G179" s="2"/>
      <c r="H179" s="2"/>
      <c r="I179" s="2"/>
      <c r="J179" s="2"/>
      <c r="K179" s="2"/>
      <c r="L179" s="2"/>
    </row>
    <row r="180" spans="1:12">
      <c r="A180" s="2" t="s">
        <v>355</v>
      </c>
      <c r="B180" s="2" t="s">
        <v>163</v>
      </c>
      <c r="C180" s="2" t="s">
        <v>351</v>
      </c>
      <c r="D180" s="2">
        <v>38199</v>
      </c>
      <c r="E180" s="3">
        <v>65313</v>
      </c>
      <c r="F180" s="2">
        <v>5</v>
      </c>
      <c r="G180" s="2"/>
      <c r="H180" s="2"/>
      <c r="I180" s="2"/>
      <c r="J180" s="2"/>
      <c r="K180" s="2"/>
      <c r="L180" s="2"/>
    </row>
    <row r="181" spans="1:12">
      <c r="A181" s="2" t="s">
        <v>356</v>
      </c>
      <c r="B181" s="2" t="s">
        <v>163</v>
      </c>
      <c r="C181" s="2" t="s">
        <v>357</v>
      </c>
      <c r="D181" s="2">
        <v>39129</v>
      </c>
      <c r="E181" s="3">
        <v>88034</v>
      </c>
      <c r="F181" s="2">
        <v>5</v>
      </c>
      <c r="G181" s="2"/>
      <c r="H181" s="2"/>
      <c r="I181" s="2"/>
      <c r="J181" s="2"/>
      <c r="K181" s="2"/>
      <c r="L181" s="2"/>
    </row>
    <row r="182" spans="1:12">
      <c r="A182" s="2" t="s">
        <v>358</v>
      </c>
      <c r="B182" s="2" t="s">
        <v>166</v>
      </c>
      <c r="C182" s="2" t="s">
        <v>357</v>
      </c>
      <c r="D182" s="2">
        <v>42720</v>
      </c>
      <c r="E182" s="3">
        <v>72788</v>
      </c>
      <c r="F182" s="2">
        <v>4</v>
      </c>
      <c r="G182" s="2"/>
      <c r="H182" s="2"/>
      <c r="I182" s="2"/>
      <c r="J182" s="2"/>
      <c r="K182" s="2"/>
      <c r="L182" s="2"/>
    </row>
    <row r="183" spans="1:12">
      <c r="A183" s="2" t="s">
        <v>359</v>
      </c>
      <c r="B183" s="2" t="s">
        <v>163</v>
      </c>
      <c r="C183" s="2" t="s">
        <v>357</v>
      </c>
      <c r="D183" s="2">
        <v>41609</v>
      </c>
      <c r="E183" s="3">
        <v>146705</v>
      </c>
      <c r="F183" s="2">
        <v>4</v>
      </c>
      <c r="G183" s="2"/>
      <c r="H183" s="2"/>
      <c r="I183" s="2"/>
      <c r="J183" s="2"/>
      <c r="K183" s="2"/>
      <c r="L183" s="2"/>
    </row>
    <row r="184" spans="1:12">
      <c r="A184" s="2" t="s">
        <v>360</v>
      </c>
      <c r="B184" s="2" t="s">
        <v>163</v>
      </c>
      <c r="C184" s="2" t="s">
        <v>357</v>
      </c>
      <c r="D184" s="2">
        <v>39185</v>
      </c>
      <c r="E184" s="3">
        <v>156560</v>
      </c>
      <c r="F184" s="2">
        <v>3</v>
      </c>
      <c r="G184" s="2"/>
      <c r="H184" s="2"/>
      <c r="I184" s="2"/>
      <c r="J184" s="2"/>
      <c r="K184" s="2"/>
      <c r="L184" s="2"/>
    </row>
    <row r="185" spans="1:12">
      <c r="A185" s="2" t="s">
        <v>361</v>
      </c>
      <c r="B185" s="2" t="s">
        <v>166</v>
      </c>
      <c r="C185" s="2" t="s">
        <v>357</v>
      </c>
      <c r="D185" s="2">
        <v>42155</v>
      </c>
      <c r="E185" s="3">
        <v>110269</v>
      </c>
      <c r="F185" s="2">
        <v>1</v>
      </c>
      <c r="G185" s="2"/>
      <c r="H185" s="2"/>
      <c r="I185" s="2"/>
      <c r="J185" s="2"/>
      <c r="K185" s="2"/>
      <c r="L185" s="2"/>
    </row>
    <row r="186" spans="1:12">
      <c r="A186" s="2" t="s">
        <v>362</v>
      </c>
      <c r="B186" s="2" t="s">
        <v>163</v>
      </c>
      <c r="C186" s="2" t="s">
        <v>357</v>
      </c>
      <c r="D186" s="2">
        <v>38845</v>
      </c>
      <c r="E186" s="3">
        <v>89451</v>
      </c>
      <c r="F186" s="2">
        <v>1</v>
      </c>
      <c r="G186" s="2"/>
      <c r="H186" s="2"/>
      <c r="I186" s="2"/>
      <c r="J186" s="2"/>
      <c r="K186" s="2"/>
      <c r="L186" s="2"/>
    </row>
    <row r="187" spans="1:12">
      <c r="A187" s="2" t="s">
        <v>363</v>
      </c>
      <c r="B187" s="2" t="s">
        <v>163</v>
      </c>
      <c r="C187" s="2" t="s">
        <v>357</v>
      </c>
      <c r="D187" s="2">
        <v>38251</v>
      </c>
      <c r="E187" s="3">
        <v>82715</v>
      </c>
      <c r="F187" s="2">
        <v>3</v>
      </c>
      <c r="G187" s="2"/>
      <c r="H187" s="2"/>
      <c r="I187" s="2"/>
      <c r="J187" s="2"/>
      <c r="K187" s="2"/>
      <c r="L187" s="2"/>
    </row>
    <row r="188" spans="1:12">
      <c r="A188" s="2" t="s">
        <v>364</v>
      </c>
      <c r="B188" s="2" t="s">
        <v>163</v>
      </c>
      <c r="C188" s="2" t="s">
        <v>357</v>
      </c>
      <c r="D188" s="2">
        <v>38788</v>
      </c>
      <c r="E188" s="3">
        <v>147555</v>
      </c>
      <c r="F188" s="2">
        <v>3</v>
      </c>
      <c r="G188" s="2"/>
      <c r="H188" s="2"/>
      <c r="I188" s="2"/>
      <c r="J188" s="2"/>
      <c r="K188" s="2"/>
      <c r="L188" s="2"/>
    </row>
    <row r="189" spans="1:12">
      <c r="A189" s="2" t="s">
        <v>365</v>
      </c>
      <c r="B189" s="2" t="s">
        <v>163</v>
      </c>
      <c r="C189" s="2" t="s">
        <v>357</v>
      </c>
      <c r="D189" s="2">
        <v>38717</v>
      </c>
      <c r="E189" s="3">
        <v>94338</v>
      </c>
      <c r="F189" s="2">
        <v>4</v>
      </c>
      <c r="G189" s="2"/>
      <c r="H189" s="2"/>
      <c r="I189" s="2"/>
      <c r="J189" s="2"/>
      <c r="K189" s="2"/>
      <c r="L189" s="2"/>
    </row>
    <row r="190" spans="1:12">
      <c r="A190" s="2" t="s">
        <v>366</v>
      </c>
      <c r="B190" s="2" t="s">
        <v>163</v>
      </c>
      <c r="C190" s="2" t="s">
        <v>357</v>
      </c>
      <c r="D190" s="2">
        <v>42311</v>
      </c>
      <c r="E190" s="3">
        <v>61061</v>
      </c>
      <c r="F190" s="2">
        <v>4</v>
      </c>
      <c r="G190" s="2"/>
      <c r="H190" s="2"/>
      <c r="I190" s="2"/>
      <c r="J190" s="2"/>
      <c r="K190" s="2"/>
      <c r="L190" s="2"/>
    </row>
    <row r="191" spans="1:12">
      <c r="A191" s="2" t="s">
        <v>367</v>
      </c>
      <c r="B191" s="2" t="s">
        <v>163</v>
      </c>
      <c r="C191" s="2" t="s">
        <v>357</v>
      </c>
      <c r="D191" s="2">
        <v>43031</v>
      </c>
      <c r="E191" s="3">
        <v>136175</v>
      </c>
      <c r="F191" s="2">
        <v>2</v>
      </c>
      <c r="G191" s="2"/>
      <c r="H191" s="2"/>
      <c r="I191" s="2"/>
      <c r="J191" s="2"/>
      <c r="K191" s="2"/>
      <c r="L191" s="2"/>
    </row>
    <row r="192" spans="1:12">
      <c r="A192" s="2" t="s">
        <v>368</v>
      </c>
      <c r="B192" s="2" t="s">
        <v>163</v>
      </c>
      <c r="C192" s="2" t="s">
        <v>357</v>
      </c>
      <c r="D192" s="2">
        <v>39460</v>
      </c>
      <c r="E192" s="3">
        <v>81189</v>
      </c>
      <c r="F192" s="2">
        <v>5</v>
      </c>
      <c r="G192" s="2"/>
      <c r="H192" s="2"/>
      <c r="I192" s="2"/>
      <c r="J192" s="2"/>
      <c r="K192" s="2"/>
      <c r="L192" s="2"/>
    </row>
    <row r="193" spans="1:12">
      <c r="A193" s="2" t="s">
        <v>369</v>
      </c>
      <c r="B193" s="2" t="s">
        <v>163</v>
      </c>
      <c r="C193" s="2" t="s">
        <v>357</v>
      </c>
      <c r="D193" s="2">
        <v>36204</v>
      </c>
      <c r="E193" s="3">
        <v>108824</v>
      </c>
      <c r="F193" s="2">
        <v>4</v>
      </c>
      <c r="G193" s="2"/>
      <c r="H193" s="2"/>
      <c r="I193" s="2"/>
      <c r="J193" s="2"/>
      <c r="K193" s="2"/>
      <c r="L193" s="2"/>
    </row>
    <row r="194" spans="1:12">
      <c r="A194" s="2" t="s">
        <v>370</v>
      </c>
      <c r="B194" s="2" t="s">
        <v>163</v>
      </c>
      <c r="C194" s="2" t="s">
        <v>357</v>
      </c>
      <c r="D194" s="2">
        <v>38774</v>
      </c>
      <c r="E194" s="3">
        <v>56187</v>
      </c>
      <c r="F194" s="2">
        <v>5</v>
      </c>
      <c r="G194" s="2"/>
      <c r="H194" s="2"/>
      <c r="I194" s="2"/>
      <c r="J194" s="2"/>
      <c r="K194" s="2"/>
      <c r="L194" s="2"/>
    </row>
    <row r="195" spans="1:12">
      <c r="A195" s="2" t="s">
        <v>371</v>
      </c>
      <c r="B195" s="2" t="s">
        <v>163</v>
      </c>
      <c r="C195" s="2" t="s">
        <v>357</v>
      </c>
      <c r="D195" s="2">
        <v>36813</v>
      </c>
      <c r="E195" s="3">
        <v>103437</v>
      </c>
      <c r="F195" s="2">
        <v>4</v>
      </c>
      <c r="G195" s="2"/>
      <c r="H195" s="2"/>
      <c r="I195" s="2"/>
      <c r="J195" s="2"/>
      <c r="K195" s="2"/>
      <c r="L195" s="2"/>
    </row>
    <row r="196" spans="1:12">
      <c r="A196" s="2" t="s">
        <v>372</v>
      </c>
      <c r="B196" s="2" t="s">
        <v>163</v>
      </c>
      <c r="C196" s="2" t="s">
        <v>357</v>
      </c>
      <c r="D196" s="2">
        <v>38933</v>
      </c>
      <c r="E196" s="3">
        <v>66528</v>
      </c>
      <c r="F196" s="2">
        <v>2</v>
      </c>
      <c r="G196" s="2"/>
      <c r="H196" s="2"/>
      <c r="I196" s="2"/>
      <c r="J196" s="2"/>
      <c r="K196" s="2"/>
      <c r="L196" s="2"/>
    </row>
    <row r="197" spans="1:12">
      <c r="A197" s="2" t="s">
        <v>373</v>
      </c>
      <c r="B197" s="2" t="s">
        <v>163</v>
      </c>
      <c r="C197" s="2" t="s">
        <v>357</v>
      </c>
      <c r="D197" s="2">
        <v>38529</v>
      </c>
      <c r="E197" s="3">
        <v>155520</v>
      </c>
      <c r="F197" s="2">
        <v>4</v>
      </c>
      <c r="G197" s="2"/>
      <c r="H197" s="2"/>
      <c r="I197" s="2"/>
      <c r="J197" s="2"/>
      <c r="K197" s="2"/>
      <c r="L197" s="2"/>
    </row>
    <row r="198" spans="1:12">
      <c r="A198" s="2" t="s">
        <v>374</v>
      </c>
      <c r="B198" s="2" t="s">
        <v>163</v>
      </c>
      <c r="C198" s="2" t="s">
        <v>357</v>
      </c>
      <c r="D198" s="2">
        <v>41233</v>
      </c>
      <c r="E198" s="3">
        <v>57497</v>
      </c>
      <c r="F198" s="2">
        <v>1</v>
      </c>
      <c r="G198" s="2"/>
      <c r="H198" s="2"/>
      <c r="I198" s="2"/>
      <c r="J198" s="2"/>
      <c r="K198" s="2"/>
      <c r="L198" s="2"/>
    </row>
    <row r="199" spans="1:12">
      <c r="A199" s="2" t="s">
        <v>375</v>
      </c>
      <c r="B199" s="2" t="s">
        <v>166</v>
      </c>
      <c r="C199" s="2" t="s">
        <v>357</v>
      </c>
      <c r="D199" s="2">
        <v>36016</v>
      </c>
      <c r="E199" s="3">
        <v>65863</v>
      </c>
      <c r="F199" s="2">
        <v>4</v>
      </c>
      <c r="G199" s="2"/>
      <c r="H199" s="2"/>
      <c r="I199" s="2"/>
      <c r="J199" s="2"/>
      <c r="K199" s="2"/>
      <c r="L199" s="2"/>
    </row>
    <row r="200" spans="1:12">
      <c r="A200" s="2" t="s">
        <v>376</v>
      </c>
      <c r="B200" s="2" t="s">
        <v>163</v>
      </c>
      <c r="C200" s="2" t="s">
        <v>357</v>
      </c>
      <c r="D200" s="2">
        <v>42603</v>
      </c>
      <c r="E200" s="3">
        <v>81338</v>
      </c>
      <c r="F200" s="2">
        <v>4</v>
      </c>
      <c r="G200" s="2"/>
      <c r="H200" s="2"/>
      <c r="I200" s="2"/>
      <c r="J200" s="2"/>
      <c r="K200" s="2"/>
      <c r="L200" s="2"/>
    </row>
    <row r="201" spans="1:12">
      <c r="A201" s="2" t="s">
        <v>377</v>
      </c>
      <c r="B201" s="2" t="s">
        <v>163</v>
      </c>
      <c r="C201" s="2" t="s">
        <v>357</v>
      </c>
      <c r="D201" s="2">
        <v>43217</v>
      </c>
      <c r="E201" s="3">
        <v>120258</v>
      </c>
      <c r="F201" s="2">
        <v>2</v>
      </c>
      <c r="G201" s="2"/>
      <c r="H201" s="2"/>
      <c r="I201" s="2"/>
      <c r="J201" s="2"/>
      <c r="K201" s="2"/>
      <c r="L201" s="2"/>
    </row>
    <row r="202" spans="1:12">
      <c r="A202" s="2" t="s">
        <v>378</v>
      </c>
      <c r="B202" s="2" t="s">
        <v>163</v>
      </c>
      <c r="C202" s="2" t="s">
        <v>357</v>
      </c>
      <c r="D202" s="2">
        <v>38538</v>
      </c>
      <c r="E202" s="3">
        <v>126657</v>
      </c>
      <c r="F202" s="2">
        <v>4</v>
      </c>
      <c r="G202" s="2"/>
      <c r="H202" s="2"/>
      <c r="I202" s="2"/>
      <c r="J202" s="2"/>
      <c r="K202" s="2"/>
      <c r="L202" s="2"/>
    </row>
    <row r="203" spans="1:12">
      <c r="A203" s="2" t="s">
        <v>379</v>
      </c>
      <c r="B203" s="2" t="s">
        <v>163</v>
      </c>
      <c r="C203" s="2" t="s">
        <v>357</v>
      </c>
      <c r="D203" s="2">
        <v>39032</v>
      </c>
      <c r="E203" s="3">
        <v>92394</v>
      </c>
      <c r="F203" s="2">
        <v>4</v>
      </c>
      <c r="G203" s="2"/>
      <c r="H203" s="2"/>
      <c r="I203" s="2"/>
      <c r="J203" s="2"/>
      <c r="K203" s="2"/>
      <c r="L203" s="2"/>
    </row>
    <row r="204" spans="1:12">
      <c r="A204" s="2" t="s">
        <v>380</v>
      </c>
      <c r="B204" s="2" t="s">
        <v>163</v>
      </c>
      <c r="C204" s="2" t="s">
        <v>357</v>
      </c>
      <c r="D204" s="2">
        <v>42139</v>
      </c>
      <c r="E204" s="3">
        <v>156033</v>
      </c>
      <c r="F204" s="2">
        <v>3</v>
      </c>
      <c r="G204" s="2"/>
      <c r="H204" s="2"/>
      <c r="I204" s="2"/>
      <c r="J204" s="2"/>
      <c r="K204" s="2"/>
      <c r="L204" s="2"/>
    </row>
    <row r="205" spans="1:12">
      <c r="A205" s="2" t="s">
        <v>381</v>
      </c>
      <c r="B205" s="2" t="s">
        <v>163</v>
      </c>
      <c r="C205" s="2" t="s">
        <v>357</v>
      </c>
      <c r="D205" s="2">
        <v>41218</v>
      </c>
      <c r="E205" s="3">
        <v>85563</v>
      </c>
      <c r="F205" s="2">
        <v>4</v>
      </c>
      <c r="G205" s="2"/>
      <c r="H205" s="2"/>
      <c r="I205" s="2"/>
      <c r="J205" s="2"/>
      <c r="K205" s="2"/>
      <c r="L205" s="2"/>
    </row>
    <row r="206" spans="1:12">
      <c r="A206" s="2" t="s">
        <v>382</v>
      </c>
      <c r="B206" s="2" t="s">
        <v>166</v>
      </c>
      <c r="C206" s="2" t="s">
        <v>357</v>
      </c>
      <c r="D206" s="2">
        <v>39116</v>
      </c>
      <c r="E206" s="3">
        <v>97327</v>
      </c>
      <c r="F206" s="2">
        <v>2</v>
      </c>
      <c r="G206" s="2"/>
      <c r="H206" s="2"/>
      <c r="I206" s="2"/>
      <c r="J206" s="2"/>
      <c r="K206" s="2"/>
      <c r="L206" s="2"/>
    </row>
    <row r="207" spans="1:12">
      <c r="A207" s="2" t="s">
        <v>383</v>
      </c>
      <c r="B207" s="2" t="s">
        <v>166</v>
      </c>
      <c r="C207" s="2" t="s">
        <v>357</v>
      </c>
      <c r="D207" s="2">
        <v>42534</v>
      </c>
      <c r="E207" s="3">
        <v>93584</v>
      </c>
      <c r="F207" s="2">
        <v>4</v>
      </c>
      <c r="G207" s="2"/>
      <c r="H207" s="2"/>
      <c r="I207" s="2"/>
      <c r="J207" s="2"/>
      <c r="K207" s="2"/>
      <c r="L207" s="2"/>
    </row>
    <row r="208" spans="1:12">
      <c r="A208" s="2" t="s">
        <v>384</v>
      </c>
      <c r="B208" s="2" t="s">
        <v>166</v>
      </c>
      <c r="C208" s="2" t="s">
        <v>357</v>
      </c>
      <c r="D208" s="2">
        <v>36090</v>
      </c>
      <c r="E208" s="3">
        <v>65964</v>
      </c>
      <c r="F208" s="2">
        <v>3</v>
      </c>
      <c r="G208" s="2"/>
      <c r="H208" s="2"/>
      <c r="I208" s="2"/>
      <c r="J208" s="2"/>
      <c r="K208" s="2"/>
      <c r="L208" s="2"/>
    </row>
    <row r="209" spans="1:12">
      <c r="A209" s="2" t="s">
        <v>385</v>
      </c>
      <c r="B209" s="2" t="s">
        <v>166</v>
      </c>
      <c r="C209" s="2" t="s">
        <v>357</v>
      </c>
      <c r="D209" s="2">
        <v>38923</v>
      </c>
      <c r="E209" s="3">
        <v>64821</v>
      </c>
      <c r="F209" s="2">
        <v>5</v>
      </c>
      <c r="G209" s="2"/>
      <c r="H209" s="2"/>
      <c r="I209" s="2"/>
      <c r="J209" s="2"/>
      <c r="K209" s="2"/>
      <c r="L209" s="2"/>
    </row>
    <row r="210" spans="1:12">
      <c r="A210" s="2" t="s">
        <v>386</v>
      </c>
      <c r="B210" s="2" t="s">
        <v>163</v>
      </c>
      <c r="C210" s="2" t="s">
        <v>387</v>
      </c>
      <c r="D210" s="2">
        <v>37611</v>
      </c>
      <c r="E210" s="3">
        <v>70295</v>
      </c>
      <c r="F210" s="2">
        <v>5</v>
      </c>
      <c r="G210" s="2"/>
      <c r="H210" s="2"/>
      <c r="I210" s="2"/>
      <c r="J210" s="2"/>
      <c r="K210" s="2"/>
      <c r="L210" s="2"/>
    </row>
    <row r="211" spans="1:12">
      <c r="A211" s="2" t="s">
        <v>388</v>
      </c>
      <c r="B211" s="2" t="s">
        <v>163</v>
      </c>
      <c r="C211" s="2" t="s">
        <v>387</v>
      </c>
      <c r="D211" s="2">
        <v>37771</v>
      </c>
      <c r="E211" s="3">
        <v>129074</v>
      </c>
      <c r="F211" s="2">
        <v>2</v>
      </c>
      <c r="G211" s="2"/>
      <c r="H211" s="2"/>
      <c r="I211" s="2"/>
      <c r="J211" s="2"/>
      <c r="K211" s="2"/>
      <c r="L211" s="2"/>
    </row>
    <row r="212" spans="1:12">
      <c r="A212" s="2" t="s">
        <v>389</v>
      </c>
      <c r="B212" s="2" t="s">
        <v>166</v>
      </c>
      <c r="C212" s="2" t="s">
        <v>387</v>
      </c>
      <c r="D212" s="2">
        <v>39921</v>
      </c>
      <c r="E212" s="3">
        <v>48641</v>
      </c>
      <c r="F212" s="2">
        <v>2</v>
      </c>
      <c r="G212" s="2"/>
      <c r="H212" s="2"/>
      <c r="I212" s="2"/>
      <c r="J212" s="2"/>
      <c r="K212" s="2"/>
      <c r="L212" s="2"/>
    </row>
    <row r="213" spans="1:12">
      <c r="A213" s="2" t="s">
        <v>390</v>
      </c>
      <c r="B213" s="2" t="s">
        <v>163</v>
      </c>
      <c r="C213" s="2" t="s">
        <v>387</v>
      </c>
      <c r="D213" s="2">
        <v>43437</v>
      </c>
      <c r="E213" s="3">
        <v>122931</v>
      </c>
      <c r="F213" s="2">
        <v>5</v>
      </c>
      <c r="G213" s="2"/>
      <c r="H213" s="2"/>
      <c r="I213" s="2"/>
      <c r="J213" s="2"/>
      <c r="K213" s="2"/>
      <c r="L213" s="2"/>
    </row>
    <row r="214" spans="1:12">
      <c r="A214" s="2" t="s">
        <v>391</v>
      </c>
      <c r="B214" s="2" t="s">
        <v>166</v>
      </c>
      <c r="C214" s="2" t="s">
        <v>387</v>
      </c>
      <c r="D214" s="2">
        <v>39031</v>
      </c>
      <c r="E214" s="3">
        <v>92744</v>
      </c>
      <c r="F214" s="2">
        <v>2</v>
      </c>
      <c r="G214" s="2"/>
      <c r="H214" s="2"/>
      <c r="I214" s="2"/>
      <c r="J214" s="2"/>
      <c r="K214" s="2"/>
      <c r="L214" s="2"/>
    </row>
    <row r="215" spans="1:12">
      <c r="A215" s="2" t="s">
        <v>392</v>
      </c>
      <c r="B215" s="2" t="s">
        <v>166</v>
      </c>
      <c r="C215" s="2" t="s">
        <v>387</v>
      </c>
      <c r="D215" s="2">
        <v>36645</v>
      </c>
      <c r="E215" s="3">
        <v>47666</v>
      </c>
      <c r="F215" s="2">
        <v>5</v>
      </c>
      <c r="G215" s="2"/>
      <c r="H215" s="2"/>
      <c r="I215" s="2"/>
      <c r="J215" s="2"/>
      <c r="K215" s="2"/>
      <c r="L215" s="2"/>
    </row>
    <row r="216" spans="1:12">
      <c r="A216" s="2" t="s">
        <v>393</v>
      </c>
      <c r="B216" s="2" t="s">
        <v>163</v>
      </c>
      <c r="C216" s="2" t="s">
        <v>387</v>
      </c>
      <c r="D216" s="2">
        <v>36942</v>
      </c>
      <c r="E216" s="3">
        <v>81675</v>
      </c>
      <c r="F216" s="2">
        <v>5</v>
      </c>
      <c r="G216" s="2"/>
      <c r="H216" s="2"/>
      <c r="I216" s="2"/>
      <c r="J216" s="2"/>
      <c r="K216" s="2"/>
      <c r="L216" s="2"/>
    </row>
    <row r="217" spans="1:12">
      <c r="A217" s="2" t="s">
        <v>394</v>
      </c>
      <c r="B217" s="2" t="s">
        <v>166</v>
      </c>
      <c r="C217" s="2" t="s">
        <v>387</v>
      </c>
      <c r="D217" s="2">
        <v>36805</v>
      </c>
      <c r="E217" s="3">
        <v>72418</v>
      </c>
      <c r="F217" s="2">
        <v>5</v>
      </c>
      <c r="G217" s="2"/>
      <c r="H217" s="2"/>
      <c r="I217" s="2"/>
      <c r="J217" s="2"/>
      <c r="K217" s="2"/>
      <c r="L217" s="2"/>
    </row>
    <row r="218" spans="1:12">
      <c r="A218" s="2" t="s">
        <v>395</v>
      </c>
      <c r="B218" s="2" t="s">
        <v>163</v>
      </c>
      <c r="C218" s="2" t="s">
        <v>387</v>
      </c>
      <c r="D218" s="2">
        <v>38258</v>
      </c>
      <c r="E218" s="3">
        <v>158099</v>
      </c>
      <c r="F218" s="2">
        <v>2</v>
      </c>
      <c r="G218" s="2"/>
      <c r="H218" s="2"/>
      <c r="I218" s="2"/>
      <c r="J218" s="2"/>
      <c r="K218" s="2"/>
      <c r="L218" s="2"/>
    </row>
    <row r="219" spans="1:12">
      <c r="A219" s="2" t="s">
        <v>396</v>
      </c>
      <c r="B219" s="2" t="s">
        <v>166</v>
      </c>
      <c r="C219" s="2" t="s">
        <v>397</v>
      </c>
      <c r="D219" s="2">
        <v>39563</v>
      </c>
      <c r="E219" s="3">
        <v>94246</v>
      </c>
      <c r="F219" s="2">
        <v>1</v>
      </c>
      <c r="G219" s="2"/>
      <c r="H219" s="2"/>
      <c r="I219" s="2"/>
      <c r="J219" s="2"/>
      <c r="K219" s="2"/>
      <c r="L219" s="2"/>
    </row>
    <row r="220" spans="1:12">
      <c r="A220" s="2" t="s">
        <v>398</v>
      </c>
      <c r="B220" s="2" t="s">
        <v>163</v>
      </c>
      <c r="C220" s="2" t="s">
        <v>399</v>
      </c>
      <c r="D220" s="2">
        <v>38110</v>
      </c>
      <c r="E220" s="3">
        <v>154913</v>
      </c>
      <c r="F220" s="2">
        <v>3</v>
      </c>
      <c r="G220" s="2"/>
      <c r="H220" s="2"/>
      <c r="I220" s="2"/>
      <c r="J220" s="2"/>
      <c r="K220" s="2"/>
      <c r="L220" s="2"/>
    </row>
    <row r="221" spans="1:12">
      <c r="A221" s="2" t="s">
        <v>400</v>
      </c>
      <c r="B221" s="2" t="s">
        <v>163</v>
      </c>
      <c r="C221" s="2" t="s">
        <v>399</v>
      </c>
      <c r="D221" s="2">
        <v>37330</v>
      </c>
      <c r="E221" s="3">
        <v>123134</v>
      </c>
      <c r="F221" s="2">
        <v>5</v>
      </c>
      <c r="G221" s="2"/>
      <c r="H221" s="2"/>
      <c r="I221" s="2"/>
      <c r="J221" s="2"/>
      <c r="K221" s="2"/>
      <c r="L221" s="2"/>
    </row>
    <row r="222" spans="1:12">
      <c r="A222" s="2" t="s">
        <v>401</v>
      </c>
      <c r="B222" s="2" t="s">
        <v>166</v>
      </c>
      <c r="C222" s="2" t="s">
        <v>399</v>
      </c>
      <c r="D222" s="2">
        <v>39529</v>
      </c>
      <c r="E222" s="3">
        <v>132522</v>
      </c>
      <c r="F222" s="2">
        <v>3</v>
      </c>
      <c r="G222" s="2"/>
      <c r="H222" s="2"/>
      <c r="I222" s="2"/>
      <c r="J222" s="2"/>
      <c r="K222" s="2"/>
      <c r="L222" s="2"/>
    </row>
    <row r="223" spans="1:12">
      <c r="A223" s="2" t="s">
        <v>402</v>
      </c>
      <c r="B223" s="2" t="s">
        <v>166</v>
      </c>
      <c r="C223" s="2" t="s">
        <v>399</v>
      </c>
      <c r="D223" s="2">
        <v>36473</v>
      </c>
      <c r="E223" s="3">
        <v>118986</v>
      </c>
      <c r="F223" s="2">
        <v>4</v>
      </c>
      <c r="G223" s="2"/>
      <c r="H223" s="2"/>
      <c r="I223" s="2"/>
      <c r="J223" s="2"/>
      <c r="K223" s="2"/>
      <c r="L223" s="2"/>
    </row>
    <row r="224" spans="1:12">
      <c r="A224" s="2" t="s">
        <v>403</v>
      </c>
      <c r="B224" s="2" t="s">
        <v>163</v>
      </c>
      <c r="C224" s="2" t="s">
        <v>399</v>
      </c>
      <c r="D224" s="2">
        <v>43379</v>
      </c>
      <c r="E224" s="3">
        <v>133934</v>
      </c>
      <c r="F224" s="2">
        <v>5</v>
      </c>
      <c r="G224" s="2"/>
      <c r="H224" s="2"/>
      <c r="I224" s="2"/>
      <c r="J224" s="2"/>
      <c r="K224" s="2"/>
      <c r="L224" s="2"/>
    </row>
    <row r="225" spans="1:12">
      <c r="A225" s="2" t="s">
        <v>404</v>
      </c>
      <c r="B225" s="2" t="s">
        <v>163</v>
      </c>
      <c r="C225" s="2" t="s">
        <v>399</v>
      </c>
      <c r="D225" s="2">
        <v>40497</v>
      </c>
      <c r="E225" s="3">
        <v>122216</v>
      </c>
      <c r="F225" s="2">
        <v>1</v>
      </c>
      <c r="G225" s="2"/>
      <c r="H225" s="2"/>
      <c r="I225" s="2"/>
      <c r="J225" s="2"/>
      <c r="K225" s="2"/>
      <c r="L225" s="2"/>
    </row>
    <row r="226" spans="1:12">
      <c r="A226" s="2" t="s">
        <v>405</v>
      </c>
      <c r="B226" s="2" t="s">
        <v>163</v>
      </c>
      <c r="C226" s="2" t="s">
        <v>399</v>
      </c>
      <c r="D226" s="2">
        <v>38353</v>
      </c>
      <c r="E226" s="3">
        <v>84308</v>
      </c>
      <c r="F226" s="2">
        <v>3</v>
      </c>
      <c r="G226" s="2"/>
      <c r="H226" s="2"/>
      <c r="I226" s="2"/>
      <c r="J226" s="2"/>
      <c r="K226" s="2"/>
      <c r="L226" s="2"/>
    </row>
    <row r="227" spans="1:12">
      <c r="A227" s="2" t="s">
        <v>406</v>
      </c>
      <c r="B227" s="2" t="s">
        <v>166</v>
      </c>
      <c r="C227" s="2" t="s">
        <v>399</v>
      </c>
      <c r="D227" s="2">
        <v>36982</v>
      </c>
      <c r="E227" s="3">
        <v>116263</v>
      </c>
      <c r="F227" s="2">
        <v>4</v>
      </c>
      <c r="G227" s="2"/>
      <c r="H227" s="2"/>
      <c r="I227" s="2"/>
      <c r="J227" s="2"/>
      <c r="K227" s="2"/>
      <c r="L227" s="2"/>
    </row>
    <row r="228" spans="1:12">
      <c r="A228" s="2" t="s">
        <v>407</v>
      </c>
      <c r="B228" s="2" t="s">
        <v>166</v>
      </c>
      <c r="C228" s="2" t="s">
        <v>399</v>
      </c>
      <c r="D228" s="2">
        <v>36917</v>
      </c>
      <c r="E228" s="3">
        <v>54670</v>
      </c>
      <c r="F228" s="2">
        <v>2</v>
      </c>
      <c r="G228" s="2"/>
      <c r="H228" s="2"/>
      <c r="I228" s="2"/>
      <c r="J228" s="2"/>
      <c r="K228" s="2"/>
      <c r="L228" s="2"/>
    </row>
    <row r="229" spans="1:12">
      <c r="A229" s="2" t="s">
        <v>408</v>
      </c>
      <c r="B229" s="2" t="s">
        <v>163</v>
      </c>
      <c r="C229" s="2" t="s">
        <v>399</v>
      </c>
      <c r="D229" s="2">
        <v>36621</v>
      </c>
      <c r="E229" s="3">
        <v>77612</v>
      </c>
      <c r="F229" s="2">
        <v>3</v>
      </c>
      <c r="G229" s="2"/>
      <c r="H229" s="2"/>
      <c r="I229" s="2"/>
      <c r="J229" s="2"/>
      <c r="K229" s="2"/>
      <c r="L229" s="2"/>
    </row>
    <row r="230" spans="1:12">
      <c r="A230" s="2" t="s">
        <v>409</v>
      </c>
      <c r="B230" s="2" t="s">
        <v>166</v>
      </c>
      <c r="C230" s="2" t="s">
        <v>399</v>
      </c>
      <c r="D230" s="2">
        <v>36431</v>
      </c>
      <c r="E230" s="3">
        <v>99691</v>
      </c>
      <c r="F230" s="2">
        <v>4</v>
      </c>
      <c r="G230" s="2"/>
      <c r="H230" s="2"/>
      <c r="I230" s="2"/>
      <c r="J230" s="2"/>
      <c r="K230" s="2"/>
      <c r="L230" s="2"/>
    </row>
    <row r="231" spans="1:12">
      <c r="A231" s="2" t="s">
        <v>410</v>
      </c>
      <c r="B231" s="2" t="s">
        <v>166</v>
      </c>
      <c r="C231" s="2" t="s">
        <v>399</v>
      </c>
      <c r="D231" s="2">
        <v>38006</v>
      </c>
      <c r="E231" s="3">
        <v>116095</v>
      </c>
      <c r="F231" s="2">
        <v>2</v>
      </c>
      <c r="G231" s="2"/>
      <c r="H231" s="2"/>
      <c r="I231" s="2"/>
      <c r="J231" s="2"/>
      <c r="K231" s="2"/>
      <c r="L231" s="2"/>
    </row>
    <row r="232" spans="1:12">
      <c r="A232" s="2" t="s">
        <v>411</v>
      </c>
      <c r="B232" s="2" t="s">
        <v>163</v>
      </c>
      <c r="C232" s="2" t="s">
        <v>399</v>
      </c>
      <c r="D232" s="2">
        <v>38977</v>
      </c>
      <c r="E232" s="3">
        <v>145341</v>
      </c>
      <c r="F232" s="2">
        <v>1</v>
      </c>
      <c r="G232" s="2"/>
      <c r="H232" s="2"/>
      <c r="I232" s="2"/>
      <c r="J232" s="2"/>
      <c r="K232" s="2"/>
      <c r="L232" s="2"/>
    </row>
    <row r="233" spans="1:12">
      <c r="A233" s="2" t="s">
        <v>412</v>
      </c>
      <c r="B233" s="2" t="s">
        <v>166</v>
      </c>
      <c r="C233" s="2" t="s">
        <v>399</v>
      </c>
      <c r="D233" s="2">
        <v>39864</v>
      </c>
      <c r="E233" s="3">
        <v>52877</v>
      </c>
      <c r="F233" s="2">
        <v>1</v>
      </c>
      <c r="G233" s="2"/>
      <c r="H233" s="2"/>
      <c r="I233" s="2"/>
      <c r="J233" s="2"/>
      <c r="K233" s="2"/>
      <c r="L233" s="2"/>
    </row>
    <row r="234" spans="1:12">
      <c r="A234" s="2" t="s">
        <v>413</v>
      </c>
      <c r="B234" s="2" t="s">
        <v>166</v>
      </c>
      <c r="C234" s="2" t="s">
        <v>399</v>
      </c>
      <c r="D234" s="2">
        <v>37852</v>
      </c>
      <c r="E234" s="3">
        <v>119457</v>
      </c>
      <c r="F234" s="2">
        <v>2</v>
      </c>
      <c r="G234" s="2"/>
      <c r="H234" s="2"/>
      <c r="I234" s="2"/>
      <c r="J234" s="2"/>
      <c r="K234" s="2"/>
      <c r="L234" s="2"/>
    </row>
    <row r="235" spans="1:12">
      <c r="A235" s="2" t="s">
        <v>414</v>
      </c>
      <c r="B235" s="2" t="s">
        <v>166</v>
      </c>
      <c r="C235" s="2" t="s">
        <v>399</v>
      </c>
      <c r="D235" s="2">
        <v>39221</v>
      </c>
      <c r="E235" s="3">
        <v>70200</v>
      </c>
      <c r="F235" s="2">
        <v>4</v>
      </c>
      <c r="G235" s="2"/>
      <c r="H235" s="2"/>
      <c r="I235" s="2"/>
      <c r="J235" s="2"/>
      <c r="K235" s="2"/>
      <c r="L235" s="2"/>
    </row>
    <row r="236" spans="1:12">
      <c r="A236" s="2" t="s">
        <v>415</v>
      </c>
      <c r="B236" s="2" t="s">
        <v>166</v>
      </c>
      <c r="C236" s="2" t="s">
        <v>399</v>
      </c>
      <c r="D236" s="2">
        <v>36434</v>
      </c>
      <c r="E236" s="3">
        <v>76049</v>
      </c>
      <c r="F236" s="2">
        <v>4</v>
      </c>
      <c r="G236" s="2"/>
      <c r="H236" s="2"/>
      <c r="I236" s="2"/>
      <c r="J236" s="2"/>
      <c r="K236" s="2"/>
      <c r="L236" s="2"/>
    </row>
    <row r="237" spans="1:12">
      <c r="A237" s="2" t="s">
        <v>416</v>
      </c>
      <c r="B237" s="2" t="s">
        <v>166</v>
      </c>
      <c r="C237" s="2" t="s">
        <v>399</v>
      </c>
      <c r="D237" s="2">
        <v>43303</v>
      </c>
      <c r="E237" s="3">
        <v>91679</v>
      </c>
      <c r="F237" s="2">
        <v>5</v>
      </c>
      <c r="G237" s="2"/>
      <c r="H237" s="2"/>
      <c r="I237" s="2"/>
      <c r="J237" s="2"/>
      <c r="K237" s="2"/>
      <c r="L237" s="2"/>
    </row>
    <row r="238" spans="1:12">
      <c r="A238" s="2" t="s">
        <v>417</v>
      </c>
      <c r="B238" s="2" t="s">
        <v>166</v>
      </c>
      <c r="C238" s="2" t="s">
        <v>399</v>
      </c>
      <c r="D238" s="2">
        <v>38217</v>
      </c>
      <c r="E238" s="3">
        <v>108924</v>
      </c>
      <c r="F238" s="2">
        <v>5</v>
      </c>
      <c r="G238" s="2"/>
      <c r="H238" s="2"/>
      <c r="I238" s="2"/>
      <c r="J238" s="2"/>
      <c r="K238" s="2"/>
      <c r="L238" s="2"/>
    </row>
    <row r="239" spans="1:12">
      <c r="A239" s="2" t="s">
        <v>418</v>
      </c>
      <c r="B239" s="2" t="s">
        <v>163</v>
      </c>
      <c r="C239" s="2" t="s">
        <v>399</v>
      </c>
      <c r="D239" s="2">
        <v>39335</v>
      </c>
      <c r="E239" s="3">
        <v>78017</v>
      </c>
      <c r="F239" s="2">
        <v>1</v>
      </c>
      <c r="G239" s="2"/>
      <c r="H239" s="2"/>
      <c r="I239" s="2"/>
      <c r="J239" s="2"/>
      <c r="K239" s="2"/>
      <c r="L239" s="2"/>
    </row>
    <row r="240" spans="1:12">
      <c r="A240" s="2" t="s">
        <v>419</v>
      </c>
      <c r="B240" s="2" t="s">
        <v>163</v>
      </c>
      <c r="C240" s="2" t="s">
        <v>399</v>
      </c>
      <c r="D240" s="2">
        <v>36205</v>
      </c>
      <c r="E240" s="3">
        <v>62762</v>
      </c>
      <c r="F240" s="2">
        <v>5</v>
      </c>
      <c r="G240" s="2"/>
      <c r="H240" s="2"/>
      <c r="I240" s="2"/>
      <c r="J240" s="2"/>
      <c r="K240" s="2"/>
      <c r="L240" s="2"/>
    </row>
    <row r="241" spans="1:12">
      <c r="A241" s="2" t="s">
        <v>420</v>
      </c>
      <c r="B241" s="2" t="s">
        <v>166</v>
      </c>
      <c r="C241" s="2" t="s">
        <v>399</v>
      </c>
      <c r="D241" s="2">
        <v>40476</v>
      </c>
      <c r="E241" s="3">
        <v>100274</v>
      </c>
      <c r="F241" s="2">
        <v>4</v>
      </c>
      <c r="G241" s="2"/>
      <c r="H241" s="2"/>
      <c r="I241" s="2"/>
      <c r="J241" s="2"/>
      <c r="K241" s="2"/>
      <c r="L241" s="2"/>
    </row>
    <row r="242" spans="1:12">
      <c r="A242" s="2" t="s">
        <v>421</v>
      </c>
      <c r="B242" s="2" t="s">
        <v>163</v>
      </c>
      <c r="C242" s="2" t="s">
        <v>399</v>
      </c>
      <c r="D242" s="2">
        <v>43206</v>
      </c>
      <c r="E242" s="3">
        <v>135432</v>
      </c>
      <c r="F242" s="2">
        <v>2</v>
      </c>
      <c r="G242" s="2"/>
      <c r="H242" s="2"/>
      <c r="I242" s="2"/>
      <c r="J242" s="2"/>
      <c r="K242" s="2"/>
      <c r="L242" s="2"/>
    </row>
    <row r="243" spans="1:12">
      <c r="A243" s="2" t="s">
        <v>422</v>
      </c>
      <c r="B243" s="2" t="s">
        <v>166</v>
      </c>
      <c r="C243" s="2" t="s">
        <v>399</v>
      </c>
      <c r="D243" s="2">
        <v>41663</v>
      </c>
      <c r="E243" s="3">
        <v>94089</v>
      </c>
      <c r="F243" s="2">
        <v>5</v>
      </c>
      <c r="G243" s="2"/>
      <c r="H243" s="2"/>
      <c r="I243" s="2"/>
      <c r="J243" s="2"/>
      <c r="K243" s="2"/>
      <c r="L243" s="2"/>
    </row>
    <row r="244" spans="1:12">
      <c r="A244" s="2" t="s">
        <v>423</v>
      </c>
      <c r="B244" s="2" t="s">
        <v>166</v>
      </c>
      <c r="C244" s="2" t="s">
        <v>399</v>
      </c>
      <c r="D244" s="2">
        <v>36558</v>
      </c>
      <c r="E244" s="3">
        <v>65011</v>
      </c>
      <c r="F244" s="2">
        <v>5</v>
      </c>
      <c r="G244" s="2"/>
      <c r="H244" s="2"/>
      <c r="I244" s="2"/>
      <c r="J244" s="2"/>
      <c r="K244" s="2"/>
      <c r="L244" s="2"/>
    </row>
    <row r="245" spans="1:12">
      <c r="A245" s="2" t="s">
        <v>424</v>
      </c>
      <c r="B245" s="2" t="s">
        <v>166</v>
      </c>
      <c r="C245" s="2" t="s">
        <v>399</v>
      </c>
      <c r="D245" s="2">
        <v>38571</v>
      </c>
      <c r="E245" s="3">
        <v>129810</v>
      </c>
      <c r="F245" s="2">
        <v>3</v>
      </c>
      <c r="G245" s="2"/>
      <c r="H245" s="2"/>
      <c r="I245" s="2"/>
      <c r="J245" s="2"/>
      <c r="K245" s="2"/>
      <c r="L245" s="2"/>
    </row>
    <row r="246" spans="1:12">
      <c r="A246" s="2" t="s">
        <v>425</v>
      </c>
      <c r="B246" s="2" t="s">
        <v>166</v>
      </c>
      <c r="C246" s="2" t="s">
        <v>426</v>
      </c>
      <c r="D246" s="2">
        <v>43372</v>
      </c>
      <c r="E246" s="3">
        <v>66558</v>
      </c>
      <c r="F246" s="2">
        <v>5</v>
      </c>
      <c r="G246" s="2"/>
      <c r="H246" s="2"/>
      <c r="I246" s="2"/>
      <c r="J246" s="2"/>
      <c r="K246" s="2"/>
      <c r="L246" s="2"/>
    </row>
    <row r="247" spans="1:12">
      <c r="A247" s="2" t="s">
        <v>427</v>
      </c>
      <c r="B247" s="2" t="s">
        <v>166</v>
      </c>
      <c r="C247" s="2" t="s">
        <v>426</v>
      </c>
      <c r="D247" s="2">
        <v>38992</v>
      </c>
      <c r="E247" s="3">
        <v>106985</v>
      </c>
      <c r="F247" s="2">
        <v>1</v>
      </c>
      <c r="G247" s="2"/>
      <c r="H247" s="2"/>
      <c r="I247" s="2"/>
      <c r="J247" s="2"/>
      <c r="K247" s="2"/>
      <c r="L247" s="2"/>
    </row>
    <row r="248" spans="1:12">
      <c r="A248" s="2" t="s">
        <v>428</v>
      </c>
      <c r="B248" s="2" t="s">
        <v>166</v>
      </c>
      <c r="C248" s="2" t="s">
        <v>426</v>
      </c>
      <c r="D248" s="2">
        <v>37876</v>
      </c>
      <c r="E248" s="3">
        <v>121608</v>
      </c>
      <c r="F248" s="2">
        <v>5</v>
      </c>
      <c r="G248" s="2"/>
      <c r="H248" s="2"/>
      <c r="I248" s="2"/>
      <c r="J248" s="2"/>
      <c r="K248" s="2"/>
      <c r="L248" s="2"/>
    </row>
    <row r="249" spans="1:12">
      <c r="A249" s="2" t="s">
        <v>429</v>
      </c>
      <c r="B249" s="2" t="s">
        <v>163</v>
      </c>
      <c r="C249" s="2" t="s">
        <v>426</v>
      </c>
      <c r="D249" s="2">
        <v>38662</v>
      </c>
      <c r="E249" s="3">
        <v>139671</v>
      </c>
      <c r="F249" s="2">
        <v>3</v>
      </c>
      <c r="G249" s="2"/>
      <c r="H249" s="2"/>
      <c r="I249" s="2"/>
      <c r="J249" s="2"/>
      <c r="K249" s="2"/>
      <c r="L249" s="2"/>
    </row>
    <row r="250" spans="1:12">
      <c r="A250" s="2" t="s">
        <v>430</v>
      </c>
      <c r="B250" s="2" t="s">
        <v>166</v>
      </c>
      <c r="C250" s="2" t="s">
        <v>426</v>
      </c>
      <c r="D250" s="2">
        <v>37890</v>
      </c>
      <c r="E250" s="3">
        <v>131177</v>
      </c>
      <c r="F250" s="2">
        <v>4</v>
      </c>
      <c r="G250" s="2"/>
      <c r="H250" s="2"/>
      <c r="I250" s="2"/>
      <c r="J250" s="2"/>
      <c r="K250" s="2"/>
      <c r="L250" s="2"/>
    </row>
    <row r="251" spans="1:12">
      <c r="A251" s="2" t="s">
        <v>431</v>
      </c>
      <c r="B251" s="2" t="s">
        <v>163</v>
      </c>
      <c r="C251" s="2" t="s">
        <v>426</v>
      </c>
      <c r="D251" s="2">
        <v>40424</v>
      </c>
      <c r="E251" s="3">
        <v>80082</v>
      </c>
      <c r="F251" s="2">
        <v>2</v>
      </c>
      <c r="G251" s="2"/>
      <c r="H251" s="2"/>
      <c r="I251" s="2"/>
      <c r="J251" s="2"/>
      <c r="K251" s="2"/>
      <c r="L251" s="2"/>
    </row>
    <row r="252" spans="1:12">
      <c r="A252" s="2" t="s">
        <v>432</v>
      </c>
      <c r="B252" s="2" t="s">
        <v>163</v>
      </c>
      <c r="C252" s="2" t="s">
        <v>426</v>
      </c>
      <c r="D252" s="2">
        <v>38425</v>
      </c>
      <c r="E252" s="3">
        <v>63477</v>
      </c>
      <c r="F252" s="2">
        <v>3</v>
      </c>
      <c r="G252" s="2"/>
      <c r="H252" s="2"/>
      <c r="I252" s="2"/>
      <c r="J252" s="2"/>
      <c r="K252" s="2"/>
      <c r="L252" s="2"/>
    </row>
    <row r="253" spans="1:12">
      <c r="A253" s="2" t="s">
        <v>433</v>
      </c>
      <c r="B253" s="2" t="s">
        <v>163</v>
      </c>
      <c r="C253" s="2" t="s">
        <v>426</v>
      </c>
      <c r="D253" s="2">
        <v>36830</v>
      </c>
      <c r="E253" s="3">
        <v>124713</v>
      </c>
      <c r="F253" s="2">
        <v>5</v>
      </c>
      <c r="G253" s="2"/>
      <c r="H253" s="2"/>
      <c r="I253" s="2"/>
      <c r="J253" s="2"/>
      <c r="K253" s="2"/>
      <c r="L253" s="2"/>
    </row>
    <row r="254" spans="1:12">
      <c r="A254" s="2" t="s">
        <v>434</v>
      </c>
      <c r="B254" s="2" t="s">
        <v>166</v>
      </c>
      <c r="C254" s="2" t="s">
        <v>426</v>
      </c>
      <c r="D254" s="2">
        <v>39198</v>
      </c>
      <c r="E254" s="3">
        <v>61067</v>
      </c>
      <c r="F254" s="2">
        <v>3</v>
      </c>
      <c r="G254" s="2"/>
      <c r="H254" s="2"/>
      <c r="I254" s="2"/>
      <c r="J254" s="2"/>
      <c r="K254" s="2"/>
      <c r="L254" s="2"/>
    </row>
    <row r="255" spans="1:12">
      <c r="A255" s="2" t="s">
        <v>435</v>
      </c>
      <c r="B255" s="2" t="s">
        <v>166</v>
      </c>
      <c r="C255" s="2" t="s">
        <v>426</v>
      </c>
      <c r="D255" s="2">
        <v>38802</v>
      </c>
      <c r="E255" s="3">
        <v>64306</v>
      </c>
      <c r="F255" s="2">
        <v>2</v>
      </c>
      <c r="G255" s="2"/>
      <c r="H255" s="2"/>
      <c r="I255" s="2"/>
      <c r="J255" s="2"/>
      <c r="K255" s="2"/>
      <c r="L255" s="2"/>
    </row>
    <row r="256" spans="1:12">
      <c r="A256" s="2" t="s">
        <v>436</v>
      </c>
      <c r="B256" s="2" t="s">
        <v>163</v>
      </c>
      <c r="C256" s="2" t="s">
        <v>426</v>
      </c>
      <c r="D256" s="2">
        <v>39311</v>
      </c>
      <c r="E256" s="3">
        <v>58590</v>
      </c>
      <c r="F256" s="2">
        <v>5</v>
      </c>
      <c r="G256" s="2"/>
      <c r="H256" s="2"/>
      <c r="I256" s="2"/>
      <c r="J256" s="2"/>
      <c r="K256" s="2"/>
      <c r="L256" s="2"/>
    </row>
    <row r="257" spans="1:12">
      <c r="A257" s="2" t="s">
        <v>437</v>
      </c>
      <c r="B257" s="2" t="s">
        <v>163</v>
      </c>
      <c r="C257" s="2" t="s">
        <v>438</v>
      </c>
      <c r="D257" s="2">
        <v>39796</v>
      </c>
      <c r="E257" s="3">
        <v>115587</v>
      </c>
      <c r="F257" s="2">
        <v>5</v>
      </c>
      <c r="G257" s="2"/>
      <c r="H257" s="2"/>
      <c r="I257" s="2"/>
      <c r="J257" s="2"/>
      <c r="K257" s="2"/>
      <c r="L257" s="2"/>
    </row>
    <row r="258" spans="1:12">
      <c r="A258" s="2" t="s">
        <v>439</v>
      </c>
      <c r="B258" s="2" t="s">
        <v>166</v>
      </c>
      <c r="C258" s="2" t="s">
        <v>438</v>
      </c>
      <c r="D258" s="2">
        <v>42535</v>
      </c>
      <c r="E258" s="3">
        <v>72082</v>
      </c>
      <c r="F258" s="2">
        <v>1</v>
      </c>
      <c r="G258" s="2"/>
      <c r="H258" s="2"/>
      <c r="I258" s="2"/>
      <c r="J258" s="2"/>
      <c r="K258" s="2"/>
      <c r="L258" s="2"/>
    </row>
    <row r="259" spans="1:12">
      <c r="A259" s="2" t="s">
        <v>440</v>
      </c>
      <c r="B259" s="2" t="s">
        <v>163</v>
      </c>
      <c r="C259" s="2" t="s">
        <v>438</v>
      </c>
      <c r="D259" s="2">
        <v>39955</v>
      </c>
      <c r="E259" s="3">
        <v>57443</v>
      </c>
      <c r="F259" s="2">
        <v>3</v>
      </c>
      <c r="G259" s="2"/>
      <c r="H259" s="2"/>
      <c r="I259" s="2"/>
      <c r="J259" s="2"/>
      <c r="K259" s="2"/>
      <c r="L259" s="2"/>
    </row>
    <row r="260" spans="1:12">
      <c r="A260" s="2" t="s">
        <v>441</v>
      </c>
      <c r="B260" s="2" t="s">
        <v>166</v>
      </c>
      <c r="C260" s="2" t="s">
        <v>438</v>
      </c>
      <c r="D260" s="2">
        <v>42244</v>
      </c>
      <c r="E260" s="3">
        <v>57011</v>
      </c>
      <c r="F260" s="2">
        <v>1</v>
      </c>
      <c r="G260" s="2"/>
      <c r="H260" s="2"/>
      <c r="I260" s="2"/>
      <c r="J260" s="2"/>
      <c r="K260" s="2"/>
      <c r="L260" s="2"/>
    </row>
    <row r="261" spans="1:12">
      <c r="A261" s="2" t="s">
        <v>442</v>
      </c>
      <c r="B261" s="2" t="s">
        <v>163</v>
      </c>
      <c r="C261" s="2" t="s">
        <v>438</v>
      </c>
      <c r="D261" s="2">
        <v>41730</v>
      </c>
      <c r="E261" s="3">
        <v>118395</v>
      </c>
      <c r="F261" s="2">
        <v>5</v>
      </c>
      <c r="G261" s="2"/>
      <c r="H261" s="2"/>
      <c r="I261" s="2"/>
      <c r="J261" s="2"/>
      <c r="K261" s="2"/>
      <c r="L261" s="2"/>
    </row>
    <row r="262" spans="1:12">
      <c r="A262" s="2" t="s">
        <v>443</v>
      </c>
      <c r="B262" s="2" t="s">
        <v>163</v>
      </c>
      <c r="C262" s="2" t="s">
        <v>438</v>
      </c>
      <c r="D262" s="2">
        <v>41894</v>
      </c>
      <c r="E262" s="3">
        <v>83309</v>
      </c>
      <c r="F262" s="2">
        <v>5</v>
      </c>
      <c r="G262" s="2"/>
      <c r="H262" s="2"/>
      <c r="I262" s="2"/>
      <c r="J262" s="2"/>
      <c r="K262" s="2"/>
      <c r="L262" s="2"/>
    </row>
    <row r="263" spans="1:12">
      <c r="A263" s="2" t="s">
        <v>444</v>
      </c>
      <c r="B263" s="2" t="s">
        <v>166</v>
      </c>
      <c r="C263" s="2" t="s">
        <v>438</v>
      </c>
      <c r="D263" s="2">
        <v>36487</v>
      </c>
      <c r="E263" s="3">
        <v>62681</v>
      </c>
      <c r="F263" s="2">
        <v>5</v>
      </c>
      <c r="G263" s="2"/>
      <c r="H263" s="2"/>
      <c r="I263" s="2"/>
      <c r="J263" s="2"/>
      <c r="K263" s="2"/>
      <c r="L263" s="2"/>
    </row>
    <row r="264" spans="1:12">
      <c r="A264" s="2" t="s">
        <v>445</v>
      </c>
      <c r="B264" s="2" t="s">
        <v>163</v>
      </c>
      <c r="C264" s="2" t="s">
        <v>438</v>
      </c>
      <c r="D264" s="2">
        <v>38264</v>
      </c>
      <c r="E264" s="3">
        <v>112658</v>
      </c>
      <c r="F264" s="2">
        <v>3</v>
      </c>
      <c r="G264" s="2"/>
      <c r="H264" s="2"/>
      <c r="I264" s="2"/>
      <c r="J264" s="2"/>
      <c r="K264" s="2"/>
      <c r="L264" s="2"/>
    </row>
    <row r="265" spans="1:12">
      <c r="A265" s="2" t="s">
        <v>446</v>
      </c>
      <c r="B265" s="2" t="s">
        <v>166</v>
      </c>
      <c r="C265" s="2" t="s">
        <v>438</v>
      </c>
      <c r="D265" s="2">
        <v>38704</v>
      </c>
      <c r="E265" s="3">
        <v>67118</v>
      </c>
      <c r="F265" s="2">
        <v>4</v>
      </c>
      <c r="G265" s="2"/>
      <c r="H265" s="2"/>
      <c r="I265" s="2"/>
      <c r="J265" s="2"/>
      <c r="K265" s="2"/>
      <c r="L265" s="2"/>
    </row>
    <row r="266" spans="1:12">
      <c r="A266" s="2" t="s">
        <v>447</v>
      </c>
      <c r="B266" s="2" t="s">
        <v>166</v>
      </c>
      <c r="C266" s="2" t="s">
        <v>438</v>
      </c>
      <c r="D266" s="2">
        <v>40907</v>
      </c>
      <c r="E266" s="3">
        <v>48350</v>
      </c>
      <c r="F266" s="2">
        <v>4</v>
      </c>
      <c r="G266" s="2"/>
      <c r="H266" s="2"/>
      <c r="I266" s="2"/>
      <c r="J266" s="2"/>
      <c r="K266" s="2"/>
      <c r="L266" s="2"/>
    </row>
    <row r="267" spans="1:12">
      <c r="A267" s="2" t="s">
        <v>448</v>
      </c>
      <c r="B267" s="2" t="s">
        <v>166</v>
      </c>
      <c r="C267" s="2" t="s">
        <v>438</v>
      </c>
      <c r="D267" s="2">
        <v>39560</v>
      </c>
      <c r="E267" s="3">
        <v>129014</v>
      </c>
      <c r="F267" s="2">
        <v>1</v>
      </c>
      <c r="G267" s="2"/>
      <c r="H267" s="2"/>
      <c r="I267" s="2"/>
      <c r="J267" s="2"/>
      <c r="K267" s="2"/>
      <c r="L267" s="2"/>
    </row>
    <row r="268" spans="1:12">
      <c r="A268" s="2" t="s">
        <v>449</v>
      </c>
      <c r="B268" s="2" t="s">
        <v>166</v>
      </c>
      <c r="C268" s="2" t="s">
        <v>438</v>
      </c>
      <c r="D268" s="2">
        <v>40351</v>
      </c>
      <c r="E268" s="3">
        <v>93080</v>
      </c>
      <c r="F268" s="2">
        <v>4</v>
      </c>
      <c r="G268" s="2"/>
      <c r="H268" s="2"/>
      <c r="I268" s="2"/>
      <c r="J268" s="2"/>
      <c r="K268" s="2"/>
      <c r="L268" s="2"/>
    </row>
    <row r="269" spans="1:12">
      <c r="A269" s="2" t="s">
        <v>450</v>
      </c>
      <c r="B269" s="2" t="s">
        <v>166</v>
      </c>
      <c r="C269" s="2" t="s">
        <v>438</v>
      </c>
      <c r="D269" s="2">
        <v>41502</v>
      </c>
      <c r="E269" s="3">
        <v>109988</v>
      </c>
      <c r="F269" s="2">
        <v>4</v>
      </c>
      <c r="G269" s="2"/>
      <c r="H269" s="2"/>
      <c r="I269" s="2"/>
      <c r="J269" s="2"/>
      <c r="K269" s="2"/>
      <c r="L269" s="2"/>
    </row>
    <row r="270" spans="1:12">
      <c r="A270" s="2" t="s">
        <v>451</v>
      </c>
      <c r="B270" s="2" t="s">
        <v>163</v>
      </c>
      <c r="C270" s="2" t="s">
        <v>438</v>
      </c>
      <c r="D270" s="2">
        <v>36330</v>
      </c>
      <c r="E270" s="3">
        <v>128817</v>
      </c>
      <c r="F270" s="2">
        <v>4</v>
      </c>
      <c r="G270" s="2"/>
      <c r="H270" s="2"/>
      <c r="I270" s="2"/>
      <c r="J270" s="2"/>
      <c r="K270" s="2"/>
      <c r="L270" s="2"/>
    </row>
    <row r="271" spans="1:12">
      <c r="A271" s="2" t="s">
        <v>452</v>
      </c>
      <c r="B271" s="2" t="s">
        <v>163</v>
      </c>
      <c r="C271" s="2" t="s">
        <v>438</v>
      </c>
      <c r="D271" s="2">
        <v>41383</v>
      </c>
      <c r="E271" s="3">
        <v>58685</v>
      </c>
      <c r="F271" s="2">
        <v>3</v>
      </c>
      <c r="G271" s="2"/>
      <c r="H271" s="2"/>
      <c r="I271" s="2"/>
      <c r="J271" s="2"/>
      <c r="K271" s="2"/>
      <c r="L271" s="2"/>
    </row>
    <row r="272" spans="1:12">
      <c r="A272" s="2" t="s">
        <v>453</v>
      </c>
      <c r="B272" s="2" t="s">
        <v>163</v>
      </c>
      <c r="C272" s="2" t="s">
        <v>438</v>
      </c>
      <c r="D272" s="2">
        <v>39174</v>
      </c>
      <c r="E272" s="3">
        <v>112658</v>
      </c>
      <c r="F272" s="2">
        <v>2</v>
      </c>
      <c r="G272" s="2"/>
      <c r="H272" s="2"/>
      <c r="I272" s="2"/>
      <c r="J272" s="2"/>
      <c r="K272" s="2"/>
      <c r="L272" s="2"/>
    </row>
    <row r="273" spans="1:12">
      <c r="A273" s="2" t="s">
        <v>454</v>
      </c>
      <c r="B273" s="2" t="s">
        <v>166</v>
      </c>
      <c r="C273" s="2" t="s">
        <v>438</v>
      </c>
      <c r="D273" s="2">
        <v>40567</v>
      </c>
      <c r="E273" s="3">
        <v>66603</v>
      </c>
      <c r="F273" s="2">
        <v>1</v>
      </c>
      <c r="G273" s="2"/>
      <c r="H273" s="2"/>
      <c r="I273" s="2"/>
      <c r="J273" s="2"/>
      <c r="K273" s="2"/>
      <c r="L273" s="2"/>
    </row>
    <row r="274" spans="1:12">
      <c r="A274" s="2" t="s">
        <v>455</v>
      </c>
      <c r="B274" s="2" t="s">
        <v>163</v>
      </c>
      <c r="C274" s="2" t="s">
        <v>438</v>
      </c>
      <c r="D274" s="2">
        <v>39227</v>
      </c>
      <c r="E274" s="3">
        <v>110376</v>
      </c>
      <c r="F274" s="2">
        <v>4</v>
      </c>
      <c r="G274" s="2"/>
      <c r="H274" s="2"/>
      <c r="I274" s="2"/>
      <c r="J274" s="2"/>
      <c r="K274" s="2"/>
      <c r="L274" s="2"/>
    </row>
    <row r="275" spans="1:12">
      <c r="A275" s="2" t="s">
        <v>456</v>
      </c>
      <c r="B275" s="2" t="s">
        <v>163</v>
      </c>
      <c r="C275" s="2" t="s">
        <v>438</v>
      </c>
      <c r="D275" s="2">
        <v>36909</v>
      </c>
      <c r="E275" s="3">
        <v>110214</v>
      </c>
      <c r="F275" s="2">
        <v>3</v>
      </c>
      <c r="G275" s="2"/>
      <c r="H275" s="2"/>
      <c r="I275" s="2"/>
      <c r="J275" s="2"/>
      <c r="K275" s="2"/>
      <c r="L275" s="2"/>
    </row>
    <row r="276" spans="1:12">
      <c r="A276" s="2" t="s">
        <v>457</v>
      </c>
      <c r="B276" s="2" t="s">
        <v>166</v>
      </c>
      <c r="C276" s="2" t="s">
        <v>438</v>
      </c>
      <c r="D276" s="2">
        <v>36241</v>
      </c>
      <c r="E276" s="3">
        <v>81416</v>
      </c>
      <c r="F276" s="2">
        <v>4</v>
      </c>
      <c r="G276" s="2"/>
      <c r="H276" s="2"/>
      <c r="I276" s="2"/>
      <c r="J276" s="2"/>
      <c r="K276" s="2"/>
      <c r="L276" s="2"/>
    </row>
    <row r="277" spans="1:12">
      <c r="A277" s="2" t="s">
        <v>458</v>
      </c>
      <c r="B277" s="2" t="s">
        <v>163</v>
      </c>
      <c r="C277" s="2" t="s">
        <v>438</v>
      </c>
      <c r="D277" s="2">
        <v>37993</v>
      </c>
      <c r="E277" s="3">
        <v>82863</v>
      </c>
      <c r="F277" s="2">
        <v>4</v>
      </c>
      <c r="G277" s="2"/>
      <c r="H277" s="2"/>
      <c r="I277" s="2"/>
      <c r="J277" s="2"/>
      <c r="K277" s="2"/>
      <c r="L277" s="2"/>
    </row>
    <row r="278" spans="1:12">
      <c r="A278" s="2" t="s">
        <v>459</v>
      </c>
      <c r="B278" s="2" t="s">
        <v>166</v>
      </c>
      <c r="C278" s="2" t="s">
        <v>438</v>
      </c>
      <c r="D278" s="2">
        <v>36476</v>
      </c>
      <c r="E278" s="3">
        <v>67275</v>
      </c>
      <c r="F278" s="2">
        <v>2</v>
      </c>
      <c r="G278" s="2"/>
      <c r="H278" s="2"/>
      <c r="I278" s="2"/>
      <c r="J278" s="2"/>
      <c r="K278" s="2"/>
      <c r="L278" s="2"/>
    </row>
    <row r="279" spans="1:12">
      <c r="A279" s="2" t="s">
        <v>460</v>
      </c>
      <c r="B279" s="2" t="s">
        <v>166</v>
      </c>
      <c r="C279" s="2" t="s">
        <v>438</v>
      </c>
      <c r="D279" s="2">
        <v>36784</v>
      </c>
      <c r="E279" s="3">
        <v>91198</v>
      </c>
      <c r="F279" s="2">
        <v>2</v>
      </c>
      <c r="G279" s="2"/>
      <c r="H279" s="2"/>
      <c r="I279" s="2"/>
      <c r="J279" s="2"/>
      <c r="K279" s="2"/>
      <c r="L279" s="2"/>
    </row>
    <row r="280" spans="1:12">
      <c r="A280" s="2" t="s">
        <v>461</v>
      </c>
      <c r="B280" s="2" t="s">
        <v>163</v>
      </c>
      <c r="C280" s="2" t="s">
        <v>438</v>
      </c>
      <c r="D280" s="2">
        <v>35973</v>
      </c>
      <c r="E280" s="3">
        <v>113697</v>
      </c>
      <c r="F280" s="2">
        <v>3</v>
      </c>
      <c r="G280" s="2"/>
      <c r="H280" s="2"/>
      <c r="I280" s="2"/>
      <c r="J280" s="2"/>
      <c r="K280" s="2"/>
      <c r="L280" s="2"/>
    </row>
    <row r="281" spans="1:12">
      <c r="A281" s="2" t="s">
        <v>462</v>
      </c>
      <c r="B281" s="2" t="s">
        <v>166</v>
      </c>
      <c r="C281" s="2" t="s">
        <v>438</v>
      </c>
      <c r="D281" s="2">
        <v>36737</v>
      </c>
      <c r="E281" s="3">
        <v>118426</v>
      </c>
      <c r="F281" s="2">
        <v>4</v>
      </c>
      <c r="G281" s="2"/>
      <c r="H281" s="2"/>
      <c r="I281" s="2"/>
      <c r="J281" s="2"/>
      <c r="K281" s="2"/>
      <c r="L281" s="2"/>
    </row>
    <row r="282" spans="1:12">
      <c r="A282" s="2" t="s">
        <v>463</v>
      </c>
      <c r="B282" s="2" t="s">
        <v>166</v>
      </c>
      <c r="C282" s="2" t="s">
        <v>438</v>
      </c>
      <c r="D282" s="2">
        <v>36247</v>
      </c>
      <c r="E282" s="3">
        <v>94268</v>
      </c>
      <c r="F282" s="2">
        <v>1</v>
      </c>
      <c r="G282" s="2"/>
      <c r="H282" s="2"/>
      <c r="I282" s="2"/>
      <c r="J282" s="2"/>
      <c r="K282" s="2"/>
      <c r="L282" s="2"/>
    </row>
    <row r="283" spans="1:12">
      <c r="A283" s="2" t="s">
        <v>464</v>
      </c>
      <c r="B283" s="2" t="s">
        <v>163</v>
      </c>
      <c r="C283" s="2" t="s">
        <v>438</v>
      </c>
      <c r="D283" s="2">
        <v>42941</v>
      </c>
      <c r="E283" s="3">
        <v>106299</v>
      </c>
      <c r="F283" s="2">
        <v>4</v>
      </c>
      <c r="G283" s="2"/>
      <c r="H283" s="2"/>
      <c r="I283" s="2"/>
      <c r="J283" s="2"/>
      <c r="K283" s="2"/>
      <c r="L283" s="2"/>
    </row>
    <row r="284" spans="1:12">
      <c r="A284" s="2" t="s">
        <v>465</v>
      </c>
      <c r="B284" s="2" t="s">
        <v>166</v>
      </c>
      <c r="C284" s="2" t="s">
        <v>438</v>
      </c>
      <c r="D284" s="2">
        <v>38544</v>
      </c>
      <c r="E284" s="3">
        <v>108342</v>
      </c>
      <c r="F284" s="2">
        <v>3</v>
      </c>
      <c r="G284" s="2"/>
      <c r="H284" s="2"/>
      <c r="I284" s="2"/>
      <c r="J284" s="2"/>
      <c r="K284" s="2"/>
      <c r="L284" s="2"/>
    </row>
    <row r="285" spans="1:12">
      <c r="A285" s="2" t="s">
        <v>466</v>
      </c>
      <c r="B285" s="2" t="s">
        <v>163</v>
      </c>
      <c r="C285" s="2" t="s">
        <v>438</v>
      </c>
      <c r="D285" s="2">
        <v>37078</v>
      </c>
      <c r="E285" s="3">
        <v>97376</v>
      </c>
      <c r="F285" s="2">
        <v>4</v>
      </c>
      <c r="G285" s="2"/>
      <c r="H285" s="2"/>
      <c r="I285" s="2"/>
      <c r="J285" s="2"/>
      <c r="K285" s="2"/>
      <c r="L285" s="2"/>
    </row>
    <row r="286" spans="1:12">
      <c r="A286" s="2" t="s">
        <v>467</v>
      </c>
      <c r="B286" s="2" t="s">
        <v>166</v>
      </c>
      <c r="C286" s="2" t="s">
        <v>438</v>
      </c>
      <c r="D286" s="2">
        <v>36504</v>
      </c>
      <c r="E286" s="3">
        <v>75421</v>
      </c>
      <c r="F286" s="2">
        <v>4</v>
      </c>
      <c r="G286" s="2"/>
      <c r="H286" s="2"/>
      <c r="I286" s="2"/>
      <c r="J286" s="2"/>
      <c r="K286" s="2"/>
      <c r="L286" s="2"/>
    </row>
    <row r="287" spans="1:12">
      <c r="A287" s="2" t="s">
        <v>468</v>
      </c>
      <c r="B287" s="2" t="s">
        <v>166</v>
      </c>
      <c r="C287" s="2" t="s">
        <v>438</v>
      </c>
      <c r="D287" s="2">
        <v>43259</v>
      </c>
      <c r="E287" s="3">
        <v>98313</v>
      </c>
      <c r="F287" s="2">
        <v>5</v>
      </c>
      <c r="G287" s="2"/>
      <c r="H287" s="2"/>
      <c r="I287" s="2"/>
      <c r="J287" s="2"/>
      <c r="K287" s="2"/>
      <c r="L287" s="2"/>
    </row>
    <row r="288" spans="1:12">
      <c r="A288" s="2" t="s">
        <v>469</v>
      </c>
      <c r="B288" s="2" t="s">
        <v>166</v>
      </c>
      <c r="C288" s="2" t="s">
        <v>438</v>
      </c>
      <c r="D288" s="2">
        <v>38307</v>
      </c>
      <c r="E288" s="3">
        <v>108431</v>
      </c>
      <c r="F288" s="2">
        <v>5</v>
      </c>
      <c r="G288" s="2"/>
      <c r="H288" s="2"/>
      <c r="I288" s="2"/>
      <c r="J288" s="2"/>
      <c r="K288" s="2"/>
      <c r="L288" s="2"/>
    </row>
    <row r="289" spans="1:12">
      <c r="A289" s="2" t="s">
        <v>470</v>
      </c>
      <c r="B289" s="2" t="s">
        <v>163</v>
      </c>
      <c r="C289" s="2" t="s">
        <v>438</v>
      </c>
      <c r="D289" s="2">
        <v>39382</v>
      </c>
      <c r="E289" s="3">
        <v>59630</v>
      </c>
      <c r="F289" s="2">
        <v>4</v>
      </c>
      <c r="G289" s="2"/>
      <c r="H289" s="2"/>
      <c r="I289" s="2"/>
      <c r="J289" s="2"/>
      <c r="K289" s="2"/>
      <c r="L289" s="2"/>
    </row>
    <row r="290" spans="1:12">
      <c r="A290" s="2" t="s">
        <v>471</v>
      </c>
      <c r="B290" s="2" t="s">
        <v>166</v>
      </c>
      <c r="C290" s="2" t="s">
        <v>438</v>
      </c>
      <c r="D290" s="2">
        <v>38944</v>
      </c>
      <c r="E290" s="3">
        <v>132477</v>
      </c>
      <c r="F290" s="2">
        <v>2</v>
      </c>
      <c r="G290" s="2"/>
      <c r="H290" s="2"/>
      <c r="I290" s="2"/>
      <c r="J290" s="2"/>
      <c r="K290" s="2"/>
      <c r="L290" s="2"/>
    </row>
    <row r="291" spans="1:12">
      <c r="A291" s="2" t="s">
        <v>472</v>
      </c>
      <c r="B291" s="2" t="s">
        <v>163</v>
      </c>
      <c r="C291" s="2" t="s">
        <v>438</v>
      </c>
      <c r="D291" s="2">
        <v>41589</v>
      </c>
      <c r="E291" s="3">
        <v>66299</v>
      </c>
      <c r="F291" s="2">
        <v>1</v>
      </c>
      <c r="G291" s="2"/>
      <c r="H291" s="2"/>
      <c r="I291" s="2"/>
      <c r="J291" s="2"/>
      <c r="K291" s="2"/>
      <c r="L291" s="2"/>
    </row>
    <row r="292" spans="1:12">
      <c r="A292" s="2" t="s">
        <v>473</v>
      </c>
      <c r="B292" s="2" t="s">
        <v>163</v>
      </c>
      <c r="C292" s="2" t="s">
        <v>438</v>
      </c>
      <c r="D292" s="2">
        <v>42513</v>
      </c>
      <c r="E292" s="3">
        <v>132678</v>
      </c>
      <c r="F292" s="2">
        <v>2</v>
      </c>
      <c r="G292" s="2"/>
      <c r="H292" s="2"/>
      <c r="I292" s="2"/>
      <c r="J292" s="2"/>
      <c r="K292" s="2"/>
      <c r="L292" s="2"/>
    </row>
    <row r="293" spans="1:12">
      <c r="A293" s="2" t="s">
        <v>474</v>
      </c>
      <c r="B293" s="2" t="s">
        <v>163</v>
      </c>
      <c r="C293" s="2" t="s">
        <v>438</v>
      </c>
      <c r="D293" s="2">
        <v>36079</v>
      </c>
      <c r="E293" s="3">
        <v>60089</v>
      </c>
      <c r="F293" s="2">
        <v>4</v>
      </c>
      <c r="G293" s="2"/>
      <c r="H293" s="2"/>
      <c r="I293" s="2"/>
      <c r="J293" s="2"/>
      <c r="K293" s="2"/>
      <c r="L293" s="2"/>
    </row>
    <row r="294" spans="1:12">
      <c r="A294" s="2" t="s">
        <v>475</v>
      </c>
      <c r="B294" s="2" t="s">
        <v>163</v>
      </c>
      <c r="C294" s="2" t="s">
        <v>438</v>
      </c>
      <c r="D294" s="2">
        <v>37473</v>
      </c>
      <c r="E294" s="3">
        <v>124740</v>
      </c>
      <c r="F294" s="2">
        <v>2</v>
      </c>
      <c r="G294" s="2"/>
      <c r="H294" s="2"/>
      <c r="I294" s="2"/>
      <c r="J294" s="2"/>
      <c r="K294" s="2"/>
      <c r="L294" s="2"/>
    </row>
    <row r="295" spans="1:12">
      <c r="A295" s="2" t="s">
        <v>476</v>
      </c>
      <c r="B295" s="2" t="s">
        <v>166</v>
      </c>
      <c r="C295" s="2" t="s">
        <v>438</v>
      </c>
      <c r="D295" s="2">
        <v>38817</v>
      </c>
      <c r="E295" s="3">
        <v>81293</v>
      </c>
      <c r="F295" s="2">
        <v>5</v>
      </c>
      <c r="G295" s="2"/>
      <c r="H295" s="2"/>
      <c r="I295" s="2"/>
      <c r="J295" s="2"/>
      <c r="K295" s="2"/>
      <c r="L295" s="2"/>
    </row>
    <row r="296" spans="1:12">
      <c r="A296" s="2" t="s">
        <v>477</v>
      </c>
      <c r="B296" s="2" t="s">
        <v>166</v>
      </c>
      <c r="C296" s="2" t="s">
        <v>438</v>
      </c>
      <c r="D296" s="2">
        <v>36492</v>
      </c>
      <c r="E296" s="3">
        <v>70614</v>
      </c>
      <c r="F296" s="2">
        <v>2</v>
      </c>
      <c r="G296" s="2"/>
      <c r="H296" s="2"/>
      <c r="I296" s="2"/>
      <c r="J296" s="2"/>
      <c r="K296" s="2"/>
      <c r="L296" s="2"/>
    </row>
    <row r="297" spans="1:12">
      <c r="A297" s="2" t="s">
        <v>478</v>
      </c>
      <c r="B297" s="2" t="s">
        <v>163</v>
      </c>
      <c r="C297" s="2" t="s">
        <v>438</v>
      </c>
      <c r="D297" s="2">
        <v>38138</v>
      </c>
      <c r="E297" s="3">
        <v>86400</v>
      </c>
      <c r="F297" s="2">
        <v>2</v>
      </c>
      <c r="G297" s="2"/>
      <c r="H297" s="2"/>
      <c r="I297" s="2"/>
      <c r="J297" s="2"/>
      <c r="K297" s="2"/>
      <c r="L297" s="2"/>
    </row>
    <row r="298" spans="1:12">
      <c r="A298" s="2" t="s">
        <v>479</v>
      </c>
      <c r="B298" s="2" t="s">
        <v>163</v>
      </c>
      <c r="C298" s="2" t="s">
        <v>438</v>
      </c>
      <c r="D298" s="2">
        <v>36136</v>
      </c>
      <c r="E298" s="3">
        <v>61223</v>
      </c>
      <c r="F298" s="2">
        <v>3</v>
      </c>
      <c r="G298" s="2"/>
      <c r="H298" s="2"/>
      <c r="I298" s="2"/>
      <c r="J298" s="2"/>
      <c r="K298" s="2"/>
      <c r="L298" s="2"/>
    </row>
    <row r="299" spans="1:12">
      <c r="A299" s="2" t="s">
        <v>480</v>
      </c>
      <c r="B299" s="2" t="s">
        <v>166</v>
      </c>
      <c r="C299" s="2" t="s">
        <v>438</v>
      </c>
      <c r="D299" s="2">
        <v>38374</v>
      </c>
      <c r="E299" s="3">
        <v>114717</v>
      </c>
      <c r="F299" s="2">
        <v>2</v>
      </c>
      <c r="G299" s="2"/>
      <c r="H299" s="2"/>
      <c r="I299" s="2"/>
      <c r="J299" s="2"/>
      <c r="K299" s="2"/>
      <c r="L299" s="2"/>
    </row>
    <row r="300" spans="1:12">
      <c r="A300" s="2" t="s">
        <v>481</v>
      </c>
      <c r="B300" s="2" t="s">
        <v>163</v>
      </c>
      <c r="C300" s="2" t="s">
        <v>438</v>
      </c>
      <c r="D300" s="2">
        <v>36850</v>
      </c>
      <c r="E300" s="3">
        <v>114008</v>
      </c>
      <c r="F300" s="2">
        <v>3</v>
      </c>
      <c r="G300" s="2"/>
      <c r="H300" s="2"/>
      <c r="I300" s="2"/>
      <c r="J300" s="2"/>
      <c r="K300" s="2"/>
      <c r="L300" s="2"/>
    </row>
    <row r="301" spans="1:12">
      <c r="A301" s="2" t="s">
        <v>482</v>
      </c>
      <c r="B301" s="2" t="s">
        <v>166</v>
      </c>
      <c r="C301" s="2" t="s">
        <v>438</v>
      </c>
      <c r="D301" s="2">
        <v>38936</v>
      </c>
      <c r="E301" s="3">
        <v>115949</v>
      </c>
      <c r="F301" s="2">
        <v>1</v>
      </c>
      <c r="G301" s="2"/>
      <c r="H301" s="2"/>
      <c r="I301" s="2"/>
      <c r="J301" s="2"/>
      <c r="K301" s="2"/>
      <c r="L301" s="2"/>
    </row>
    <row r="302" spans="1:12">
      <c r="A302" s="2" t="s">
        <v>483</v>
      </c>
      <c r="B302" s="2" t="s">
        <v>166</v>
      </c>
      <c r="C302" s="2" t="s">
        <v>438</v>
      </c>
      <c r="D302" s="2">
        <v>42401</v>
      </c>
      <c r="E302" s="3">
        <v>50535</v>
      </c>
      <c r="F302" s="2">
        <v>3</v>
      </c>
      <c r="G302" s="2"/>
      <c r="H302" s="2"/>
      <c r="I302" s="2"/>
      <c r="J302" s="2"/>
      <c r="K302" s="2"/>
      <c r="L302" s="2"/>
    </row>
    <row r="303" spans="1:12">
      <c r="A303" s="2" t="s">
        <v>484</v>
      </c>
      <c r="B303" s="2" t="s">
        <v>163</v>
      </c>
      <c r="C303" s="2" t="s">
        <v>438</v>
      </c>
      <c r="D303" s="2">
        <v>39269</v>
      </c>
      <c r="E303" s="3">
        <v>53487</v>
      </c>
      <c r="F303" s="2">
        <v>2</v>
      </c>
      <c r="G303" s="2"/>
      <c r="H303" s="2"/>
      <c r="I303" s="2"/>
      <c r="J303" s="2"/>
      <c r="K303" s="2"/>
      <c r="L303" s="2"/>
    </row>
    <row r="304" spans="1:12">
      <c r="A304" s="2" t="s">
        <v>485</v>
      </c>
      <c r="B304" s="2" t="s">
        <v>166</v>
      </c>
      <c r="C304" s="2" t="s">
        <v>486</v>
      </c>
      <c r="D304" s="2">
        <v>40309</v>
      </c>
      <c r="E304" s="3">
        <v>97809</v>
      </c>
      <c r="F304" s="2">
        <v>3</v>
      </c>
      <c r="G304" s="2"/>
      <c r="H304" s="2"/>
      <c r="I304" s="2"/>
      <c r="J304" s="2"/>
      <c r="K304" s="2"/>
      <c r="L304" s="2"/>
    </row>
    <row r="305" spans="1:12">
      <c r="A305" s="2" t="s">
        <v>487</v>
      </c>
      <c r="B305" s="2" t="s">
        <v>163</v>
      </c>
      <c r="C305" s="2" t="s">
        <v>486</v>
      </c>
      <c r="D305" s="2">
        <v>37257</v>
      </c>
      <c r="E305" s="3">
        <v>70079</v>
      </c>
      <c r="F305" s="2">
        <v>5</v>
      </c>
      <c r="G305" s="2"/>
      <c r="H305" s="2"/>
      <c r="I305" s="2"/>
      <c r="J305" s="2"/>
      <c r="K305" s="2"/>
      <c r="L305" s="2"/>
    </row>
    <row r="306" spans="1:12">
      <c r="A306" s="2" t="s">
        <v>488</v>
      </c>
      <c r="B306" s="2" t="s">
        <v>163</v>
      </c>
      <c r="C306" s="2" t="s">
        <v>486</v>
      </c>
      <c r="D306" s="2">
        <v>39620</v>
      </c>
      <c r="E306" s="3">
        <v>143060</v>
      </c>
      <c r="F306" s="2">
        <v>2</v>
      </c>
      <c r="G306" s="2"/>
      <c r="H306" s="2"/>
      <c r="I306" s="2"/>
      <c r="J306" s="2"/>
      <c r="K306" s="2"/>
      <c r="L306" s="2"/>
    </row>
    <row r="307" spans="1:12">
      <c r="A307" s="2" t="s">
        <v>489</v>
      </c>
      <c r="B307" s="2" t="s">
        <v>163</v>
      </c>
      <c r="C307" s="2" t="s">
        <v>486</v>
      </c>
      <c r="D307" s="2">
        <v>38530</v>
      </c>
      <c r="E307" s="3">
        <v>61695</v>
      </c>
      <c r="F307" s="2">
        <v>3</v>
      </c>
      <c r="G307" s="2"/>
      <c r="H307" s="2"/>
      <c r="I307" s="2"/>
      <c r="J307" s="2"/>
      <c r="K307" s="2"/>
      <c r="L307" s="2"/>
    </row>
    <row r="308" spans="1:12">
      <c r="A308" s="2" t="s">
        <v>490</v>
      </c>
      <c r="B308" s="2" t="s">
        <v>163</v>
      </c>
      <c r="C308" s="2" t="s">
        <v>486</v>
      </c>
      <c r="D308" s="2">
        <v>38373</v>
      </c>
      <c r="E308" s="3">
        <v>132192</v>
      </c>
      <c r="F308" s="2">
        <v>3</v>
      </c>
      <c r="G308" s="2"/>
      <c r="H308" s="2"/>
      <c r="I308" s="2"/>
      <c r="J308" s="2"/>
      <c r="K308" s="2"/>
      <c r="L308" s="2"/>
    </row>
    <row r="309" spans="1:12">
      <c r="A309" s="2" t="s">
        <v>491</v>
      </c>
      <c r="B309" s="2" t="s">
        <v>163</v>
      </c>
      <c r="C309" s="2" t="s">
        <v>486</v>
      </c>
      <c r="D309" s="2">
        <v>37404</v>
      </c>
      <c r="E309" s="3">
        <v>144234</v>
      </c>
      <c r="F309" s="2">
        <v>3</v>
      </c>
      <c r="G309" s="2"/>
      <c r="H309" s="2"/>
      <c r="I309" s="2"/>
      <c r="J309" s="2"/>
      <c r="K309" s="2"/>
      <c r="L309" s="2"/>
    </row>
    <row r="310" spans="1:12">
      <c r="A310" s="2" t="s">
        <v>492</v>
      </c>
      <c r="B310" s="2" t="s">
        <v>166</v>
      </c>
      <c r="C310" s="2" t="s">
        <v>486</v>
      </c>
      <c r="D310" s="2">
        <v>39278</v>
      </c>
      <c r="E310" s="3">
        <v>124846</v>
      </c>
      <c r="F310" s="2">
        <v>3</v>
      </c>
      <c r="G310" s="2"/>
      <c r="H310" s="2"/>
      <c r="I310" s="2"/>
      <c r="J310" s="2"/>
      <c r="K310" s="2"/>
      <c r="L310" s="2"/>
    </row>
    <row r="311" spans="1:12">
      <c r="A311" s="2" t="s">
        <v>493</v>
      </c>
      <c r="B311" s="2" t="s">
        <v>163</v>
      </c>
      <c r="C311" s="2" t="s">
        <v>486</v>
      </c>
      <c r="D311" s="2">
        <v>39052</v>
      </c>
      <c r="E311" s="3">
        <v>86711</v>
      </c>
      <c r="F311" s="2">
        <v>3</v>
      </c>
      <c r="G311" s="2"/>
      <c r="H311" s="2"/>
      <c r="I311" s="2"/>
      <c r="J311" s="2"/>
      <c r="K311" s="2"/>
      <c r="L311" s="2"/>
    </row>
    <row r="312" spans="1:12">
      <c r="A312" s="2" t="s">
        <v>494</v>
      </c>
      <c r="B312" s="2" t="s">
        <v>166</v>
      </c>
      <c r="C312" s="2" t="s">
        <v>486</v>
      </c>
      <c r="D312" s="2">
        <v>39929</v>
      </c>
      <c r="E312" s="3">
        <v>47610</v>
      </c>
      <c r="F312" s="2">
        <v>5</v>
      </c>
      <c r="G312" s="2"/>
      <c r="H312" s="2"/>
      <c r="I312" s="2"/>
      <c r="J312" s="2"/>
      <c r="K312" s="2"/>
      <c r="L312" s="2"/>
    </row>
    <row r="313" spans="1:12">
      <c r="A313" s="2" t="s">
        <v>495</v>
      </c>
      <c r="B313" s="2" t="s">
        <v>166</v>
      </c>
      <c r="C313" s="2" t="s">
        <v>486</v>
      </c>
      <c r="D313" s="2">
        <v>42341</v>
      </c>
      <c r="E313" s="3">
        <v>117395</v>
      </c>
      <c r="F313" s="2">
        <v>4</v>
      </c>
      <c r="G313" s="2"/>
      <c r="H313" s="2"/>
      <c r="I313" s="2"/>
      <c r="J313" s="2"/>
      <c r="K313" s="2"/>
      <c r="L313" s="2"/>
    </row>
    <row r="314" spans="1:12">
      <c r="A314" s="2" t="s">
        <v>496</v>
      </c>
      <c r="B314" s="2" t="s">
        <v>166</v>
      </c>
      <c r="C314" s="2" t="s">
        <v>486</v>
      </c>
      <c r="D314" s="2">
        <v>40676</v>
      </c>
      <c r="E314" s="3">
        <v>107478</v>
      </c>
      <c r="F314" s="2">
        <v>2</v>
      </c>
      <c r="G314" s="2"/>
      <c r="H314" s="2"/>
      <c r="I314" s="2"/>
      <c r="J314" s="2"/>
      <c r="K314" s="2"/>
      <c r="L314" s="2"/>
    </row>
    <row r="315" spans="1:12">
      <c r="A315" s="2" t="s">
        <v>497</v>
      </c>
      <c r="B315" s="2" t="s">
        <v>163</v>
      </c>
      <c r="C315" s="2" t="s">
        <v>486</v>
      </c>
      <c r="D315" s="2">
        <v>41688</v>
      </c>
      <c r="E315" s="3">
        <v>58010</v>
      </c>
      <c r="F315" s="2">
        <v>5</v>
      </c>
      <c r="G315" s="2"/>
      <c r="H315" s="2"/>
      <c r="I315" s="2"/>
      <c r="J315" s="2"/>
      <c r="K315" s="2"/>
      <c r="L315" s="2"/>
    </row>
    <row r="316" spans="1:12">
      <c r="A316" s="2" t="s">
        <v>498</v>
      </c>
      <c r="B316" s="2" t="s">
        <v>166</v>
      </c>
      <c r="C316" s="2" t="s">
        <v>486</v>
      </c>
      <c r="D316" s="2">
        <v>38403</v>
      </c>
      <c r="E316" s="3">
        <v>123345</v>
      </c>
      <c r="F316" s="2">
        <v>3</v>
      </c>
      <c r="G316" s="2"/>
      <c r="H316" s="2"/>
      <c r="I316" s="2"/>
      <c r="J316" s="2"/>
      <c r="K316" s="2"/>
      <c r="L316" s="2"/>
    </row>
    <row r="317" spans="1:12">
      <c r="A317" s="2" t="s">
        <v>499</v>
      </c>
      <c r="B317" s="2" t="s">
        <v>166</v>
      </c>
      <c r="C317" s="2" t="s">
        <v>486</v>
      </c>
      <c r="D317" s="2">
        <v>37390</v>
      </c>
      <c r="E317" s="3">
        <v>68440</v>
      </c>
      <c r="F317" s="2">
        <v>5</v>
      </c>
      <c r="G317" s="2"/>
      <c r="H317" s="2"/>
      <c r="I317" s="2"/>
      <c r="J317" s="2"/>
      <c r="K317" s="2"/>
      <c r="L317" s="2"/>
    </row>
    <row r="318" spans="1:12">
      <c r="A318" s="2" t="s">
        <v>500</v>
      </c>
      <c r="B318" s="2" t="s">
        <v>166</v>
      </c>
      <c r="C318" s="2" t="s">
        <v>486</v>
      </c>
      <c r="D318" s="2">
        <v>36494</v>
      </c>
      <c r="E318" s="3">
        <v>99669</v>
      </c>
      <c r="F318" s="2">
        <v>2</v>
      </c>
      <c r="G318" s="2"/>
      <c r="H318" s="2"/>
      <c r="I318" s="2"/>
      <c r="J318" s="2"/>
      <c r="K318" s="2"/>
      <c r="L318" s="2"/>
    </row>
    <row r="319" spans="1:12">
      <c r="A319" s="2" t="s">
        <v>501</v>
      </c>
      <c r="B319" s="2" t="s">
        <v>166</v>
      </c>
      <c r="C319" s="2" t="s">
        <v>486</v>
      </c>
      <c r="D319" s="2">
        <v>42934</v>
      </c>
      <c r="E319" s="3">
        <v>57213</v>
      </c>
      <c r="F319" s="2">
        <v>4</v>
      </c>
      <c r="G319" s="2"/>
      <c r="H319" s="2"/>
      <c r="I319" s="2"/>
      <c r="J319" s="2"/>
      <c r="K319" s="2"/>
      <c r="L319" s="2"/>
    </row>
    <row r="320" spans="1:12">
      <c r="A320" s="2" t="s">
        <v>502</v>
      </c>
      <c r="B320" s="2" t="s">
        <v>163</v>
      </c>
      <c r="C320" s="2" t="s">
        <v>486</v>
      </c>
      <c r="D320" s="2">
        <v>39392</v>
      </c>
      <c r="E320" s="3">
        <v>52704</v>
      </c>
      <c r="F320" s="2">
        <v>5</v>
      </c>
      <c r="G320" s="2"/>
      <c r="H320" s="2"/>
      <c r="I320" s="2"/>
      <c r="J320" s="2"/>
      <c r="K320" s="2"/>
      <c r="L320" s="2"/>
    </row>
    <row r="321" spans="1:12">
      <c r="A321" s="2" t="s">
        <v>503</v>
      </c>
      <c r="B321" s="2" t="s">
        <v>166</v>
      </c>
      <c r="C321" s="2" t="s">
        <v>486</v>
      </c>
      <c r="D321" s="2">
        <v>42686</v>
      </c>
      <c r="E321" s="3">
        <v>47913</v>
      </c>
      <c r="F321" s="2">
        <v>1</v>
      </c>
      <c r="G321" s="2"/>
      <c r="H321" s="2"/>
      <c r="I321" s="2"/>
      <c r="J321" s="2"/>
      <c r="K321" s="2"/>
      <c r="L321" s="2"/>
    </row>
    <row r="322" spans="1:12">
      <c r="A322" s="2" t="s">
        <v>504</v>
      </c>
      <c r="B322" s="2" t="s">
        <v>163</v>
      </c>
      <c r="C322" s="2" t="s">
        <v>486</v>
      </c>
      <c r="D322" s="2">
        <v>40540</v>
      </c>
      <c r="E322" s="3">
        <v>81068</v>
      </c>
      <c r="F322" s="2">
        <v>2</v>
      </c>
      <c r="G322" s="2"/>
      <c r="H322" s="2"/>
      <c r="I322" s="2"/>
      <c r="J322" s="2"/>
      <c r="K322" s="2"/>
      <c r="L322" s="2"/>
    </row>
    <row r="323" spans="1:12">
      <c r="A323" s="2" t="s">
        <v>505</v>
      </c>
      <c r="B323" s="2" t="s">
        <v>163</v>
      </c>
      <c r="C323" s="2" t="s">
        <v>486</v>
      </c>
      <c r="D323" s="2">
        <v>36102</v>
      </c>
      <c r="E323" s="3">
        <v>97403</v>
      </c>
      <c r="F323" s="2">
        <v>4</v>
      </c>
      <c r="G323" s="2"/>
      <c r="H323" s="2"/>
      <c r="I323" s="2"/>
      <c r="J323" s="2"/>
      <c r="K323" s="2"/>
      <c r="L323" s="2"/>
    </row>
    <row r="324" spans="1:12">
      <c r="A324" s="2" t="s">
        <v>506</v>
      </c>
      <c r="B324" s="2" t="s">
        <v>166</v>
      </c>
      <c r="C324" s="2" t="s">
        <v>486</v>
      </c>
      <c r="D324" s="2">
        <v>38838</v>
      </c>
      <c r="E324" s="3">
        <v>58166</v>
      </c>
      <c r="F324" s="2">
        <v>3</v>
      </c>
      <c r="G324" s="2"/>
      <c r="H324" s="2"/>
      <c r="I324" s="2"/>
      <c r="J324" s="2"/>
      <c r="K324" s="2"/>
      <c r="L324" s="2"/>
    </row>
    <row r="325" spans="1:12">
      <c r="A325" s="2" t="s">
        <v>507</v>
      </c>
      <c r="B325" s="2" t="s">
        <v>166</v>
      </c>
      <c r="C325" s="2" t="s">
        <v>486</v>
      </c>
      <c r="D325" s="2">
        <v>37260</v>
      </c>
      <c r="E325" s="3">
        <v>65034</v>
      </c>
      <c r="F325" s="2">
        <v>5</v>
      </c>
      <c r="G325" s="2"/>
      <c r="H325" s="2"/>
      <c r="I325" s="2"/>
      <c r="J325" s="2"/>
      <c r="K325" s="2"/>
      <c r="L325" s="2"/>
    </row>
    <row r="326" spans="1:12">
      <c r="A326" s="2" t="s">
        <v>508</v>
      </c>
      <c r="B326" s="2" t="s">
        <v>166</v>
      </c>
      <c r="C326" s="2" t="s">
        <v>486</v>
      </c>
      <c r="D326" s="2">
        <v>38483</v>
      </c>
      <c r="E326" s="3">
        <v>128633</v>
      </c>
      <c r="F326" s="2">
        <v>1</v>
      </c>
      <c r="G326" s="2"/>
      <c r="H326" s="2"/>
      <c r="I326" s="2"/>
      <c r="J326" s="2"/>
      <c r="K326" s="2"/>
      <c r="L326" s="2"/>
    </row>
    <row r="327" spans="1:12">
      <c r="A327" s="2" t="s">
        <v>509</v>
      </c>
      <c r="B327" s="2" t="s">
        <v>166</v>
      </c>
      <c r="C327" s="2" t="s">
        <v>486</v>
      </c>
      <c r="D327" s="2">
        <v>36146</v>
      </c>
      <c r="E327" s="3">
        <v>57135</v>
      </c>
      <c r="F327" s="2">
        <v>5</v>
      </c>
      <c r="G327" s="2"/>
      <c r="H327" s="2"/>
      <c r="I327" s="2"/>
      <c r="J327" s="2"/>
      <c r="K327" s="2"/>
      <c r="L327" s="2"/>
    </row>
    <row r="328" spans="1:12">
      <c r="A328" s="2" t="s">
        <v>510</v>
      </c>
      <c r="B328" s="2" t="s">
        <v>163</v>
      </c>
      <c r="C328" s="2" t="s">
        <v>486</v>
      </c>
      <c r="D328" s="2">
        <v>39554</v>
      </c>
      <c r="E328" s="3">
        <v>119394</v>
      </c>
      <c r="F328" s="2">
        <v>3</v>
      </c>
      <c r="G328" s="2"/>
      <c r="H328" s="2"/>
      <c r="I328" s="2"/>
      <c r="J328" s="2"/>
      <c r="K328" s="2"/>
      <c r="L328" s="2"/>
    </row>
    <row r="329" spans="1:12">
      <c r="A329" s="2" t="s">
        <v>511</v>
      </c>
      <c r="B329" s="2" t="s">
        <v>163</v>
      </c>
      <c r="C329" s="2" t="s">
        <v>486</v>
      </c>
      <c r="D329" s="2">
        <v>39633</v>
      </c>
      <c r="E329" s="3">
        <v>141872</v>
      </c>
      <c r="F329" s="2">
        <v>1</v>
      </c>
      <c r="G329" s="2"/>
      <c r="H329" s="2"/>
      <c r="I329" s="2"/>
      <c r="J329" s="2"/>
      <c r="K329" s="2"/>
      <c r="L329" s="2"/>
    </row>
    <row r="330" spans="1:12">
      <c r="A330" s="2" t="s">
        <v>512</v>
      </c>
      <c r="B330" s="2" t="s">
        <v>166</v>
      </c>
      <c r="C330" s="2" t="s">
        <v>486</v>
      </c>
      <c r="D330" s="2">
        <v>39153</v>
      </c>
      <c r="E330" s="3">
        <v>93910</v>
      </c>
      <c r="F330" s="2">
        <v>1</v>
      </c>
      <c r="G330" s="2"/>
      <c r="H330" s="2"/>
      <c r="I330" s="2"/>
      <c r="J330" s="2"/>
      <c r="K330" s="2"/>
      <c r="L330" s="2"/>
    </row>
    <row r="331" spans="1:12">
      <c r="A331" s="2" t="s">
        <v>513</v>
      </c>
      <c r="B331" s="2" t="s">
        <v>163</v>
      </c>
      <c r="C331" s="2" t="s">
        <v>486</v>
      </c>
      <c r="D331" s="2">
        <v>39119</v>
      </c>
      <c r="E331" s="3">
        <v>148244</v>
      </c>
      <c r="F331" s="2">
        <v>5</v>
      </c>
      <c r="G331" s="2"/>
      <c r="H331" s="2"/>
      <c r="I331" s="2"/>
      <c r="J331" s="2"/>
      <c r="K331" s="2"/>
      <c r="L331" s="2"/>
    </row>
    <row r="332" spans="1:12">
      <c r="A332" s="2" t="s">
        <v>514</v>
      </c>
      <c r="B332" s="2" t="s">
        <v>163</v>
      </c>
      <c r="C332" s="2" t="s">
        <v>486</v>
      </c>
      <c r="D332" s="2">
        <v>38167</v>
      </c>
      <c r="E332" s="3">
        <v>60980</v>
      </c>
      <c r="F332" s="2">
        <v>2</v>
      </c>
      <c r="G332" s="2"/>
      <c r="H332" s="2"/>
      <c r="I332" s="2"/>
      <c r="J332" s="2"/>
      <c r="K332" s="2"/>
      <c r="L332" s="2"/>
    </row>
    <row r="333" spans="1:12">
      <c r="A333" s="2" t="s">
        <v>515</v>
      </c>
      <c r="B333" s="2" t="s">
        <v>163</v>
      </c>
      <c r="C333" s="2" t="s">
        <v>486</v>
      </c>
      <c r="D333" s="2">
        <v>43226</v>
      </c>
      <c r="E333" s="3">
        <v>123039</v>
      </c>
      <c r="F333" s="2">
        <v>4</v>
      </c>
      <c r="G333" s="2"/>
      <c r="H333" s="2"/>
      <c r="I333" s="2"/>
      <c r="J333" s="2"/>
      <c r="K333" s="2"/>
      <c r="L333" s="2"/>
    </row>
    <row r="334" spans="1:12">
      <c r="A334" s="2" t="s">
        <v>516</v>
      </c>
      <c r="B334" s="2" t="s">
        <v>163</v>
      </c>
      <c r="C334" s="2" t="s">
        <v>486</v>
      </c>
      <c r="D334" s="2">
        <v>43571</v>
      </c>
      <c r="E334" s="3">
        <v>87143</v>
      </c>
      <c r="F334" s="2">
        <v>2</v>
      </c>
      <c r="G334" s="2"/>
      <c r="H334" s="2"/>
      <c r="I334" s="2"/>
      <c r="J334" s="2"/>
      <c r="K334" s="2"/>
      <c r="L334" s="2"/>
    </row>
    <row r="335" spans="1:12">
      <c r="A335" s="2" t="s">
        <v>517</v>
      </c>
      <c r="B335" s="2" t="s">
        <v>163</v>
      </c>
      <c r="C335" s="2" t="s">
        <v>486</v>
      </c>
      <c r="D335" s="2">
        <v>36000</v>
      </c>
      <c r="E335" s="3">
        <v>122054</v>
      </c>
      <c r="F335" s="2">
        <v>4</v>
      </c>
      <c r="G335" s="2"/>
      <c r="H335" s="2"/>
      <c r="I335" s="2"/>
      <c r="J335" s="2"/>
      <c r="K335" s="2"/>
      <c r="L335" s="2"/>
    </row>
    <row r="336" spans="1:12">
      <c r="A336" s="2" t="s">
        <v>518</v>
      </c>
      <c r="B336" s="2" t="s">
        <v>166</v>
      </c>
      <c r="C336" s="2" t="s">
        <v>486</v>
      </c>
      <c r="D336" s="2">
        <v>36770</v>
      </c>
      <c r="E336" s="3">
        <v>87119</v>
      </c>
      <c r="F336" s="2">
        <v>5</v>
      </c>
      <c r="G336" s="2"/>
      <c r="H336" s="2"/>
      <c r="I336" s="2"/>
      <c r="J336" s="2"/>
      <c r="K336" s="2"/>
      <c r="L336" s="2"/>
    </row>
    <row r="337" spans="1:12">
      <c r="A337" s="2" t="s">
        <v>519</v>
      </c>
      <c r="B337" s="2" t="s">
        <v>163</v>
      </c>
      <c r="C337" s="2" t="s">
        <v>486</v>
      </c>
      <c r="D337" s="2">
        <v>43357</v>
      </c>
      <c r="E337" s="3">
        <v>113306</v>
      </c>
      <c r="F337" s="2">
        <v>3</v>
      </c>
      <c r="G337" s="2"/>
      <c r="H337" s="2"/>
      <c r="I337" s="2"/>
      <c r="J337" s="2"/>
      <c r="K337" s="2"/>
      <c r="L337" s="2"/>
    </row>
    <row r="338" spans="1:12">
      <c r="A338" s="2" t="s">
        <v>520</v>
      </c>
      <c r="B338" s="2" t="s">
        <v>163</v>
      </c>
      <c r="C338" s="2" t="s">
        <v>486</v>
      </c>
      <c r="D338" s="2">
        <v>38322</v>
      </c>
      <c r="E338" s="3">
        <v>97524</v>
      </c>
      <c r="F338" s="2">
        <v>3</v>
      </c>
      <c r="G338" s="2"/>
      <c r="H338" s="2"/>
      <c r="I338" s="2"/>
      <c r="J338" s="2"/>
      <c r="K338" s="2"/>
      <c r="L338" s="2"/>
    </row>
    <row r="339" spans="1:12">
      <c r="A339" s="2" t="s">
        <v>521</v>
      </c>
      <c r="B339" s="2" t="s">
        <v>163</v>
      </c>
      <c r="C339" s="2" t="s">
        <v>486</v>
      </c>
      <c r="D339" s="2">
        <v>38957</v>
      </c>
      <c r="E339" s="3">
        <v>96863</v>
      </c>
      <c r="F339" s="2">
        <v>5</v>
      </c>
      <c r="G339" s="2"/>
      <c r="H339" s="2"/>
      <c r="I339" s="2"/>
      <c r="J339" s="2"/>
      <c r="K339" s="2"/>
      <c r="L339" s="2"/>
    </row>
    <row r="340" spans="1:12">
      <c r="A340" s="2" t="s">
        <v>522</v>
      </c>
      <c r="B340" s="2" t="s">
        <v>166</v>
      </c>
      <c r="C340" s="2" t="s">
        <v>486</v>
      </c>
      <c r="D340" s="2">
        <v>36101</v>
      </c>
      <c r="E340" s="3">
        <v>104823</v>
      </c>
      <c r="F340" s="2">
        <v>3</v>
      </c>
      <c r="G340" s="2"/>
      <c r="H340" s="2"/>
      <c r="I340" s="2"/>
      <c r="J340" s="2"/>
      <c r="K340" s="2"/>
      <c r="L340" s="2"/>
    </row>
    <row r="341" spans="1:12">
      <c r="A341" s="2" t="s">
        <v>523</v>
      </c>
      <c r="B341" s="2" t="s">
        <v>166</v>
      </c>
      <c r="C341" s="2" t="s">
        <v>486</v>
      </c>
      <c r="D341" s="2">
        <v>42385</v>
      </c>
      <c r="E341" s="3">
        <v>99960</v>
      </c>
      <c r="F341" s="2">
        <v>1</v>
      </c>
      <c r="G341" s="2"/>
      <c r="H341" s="2"/>
      <c r="I341" s="2"/>
      <c r="J341" s="2"/>
      <c r="K341" s="2"/>
      <c r="L341" s="2"/>
    </row>
    <row r="342" spans="1:12">
      <c r="A342" s="2" t="s">
        <v>524</v>
      </c>
      <c r="B342" s="2" t="s">
        <v>163</v>
      </c>
      <c r="C342" s="2" t="s">
        <v>486</v>
      </c>
      <c r="D342" s="2">
        <v>42576</v>
      </c>
      <c r="E342" s="3">
        <v>121136</v>
      </c>
      <c r="F342" s="2">
        <v>5</v>
      </c>
      <c r="G342" s="2"/>
      <c r="H342" s="2"/>
      <c r="I342" s="2"/>
      <c r="J342" s="2"/>
      <c r="K342" s="2"/>
      <c r="L342" s="2"/>
    </row>
    <row r="343" spans="1:12">
      <c r="A343" s="2" t="s">
        <v>525</v>
      </c>
      <c r="B343" s="2" t="s">
        <v>166</v>
      </c>
      <c r="C343" s="2" t="s">
        <v>486</v>
      </c>
      <c r="D343" s="2">
        <v>39387</v>
      </c>
      <c r="E343" s="3">
        <v>94010</v>
      </c>
      <c r="F343" s="2">
        <v>1</v>
      </c>
      <c r="G343" s="2"/>
      <c r="H343" s="2"/>
      <c r="I343" s="2"/>
      <c r="J343" s="2"/>
      <c r="K343" s="2"/>
      <c r="L343" s="2"/>
    </row>
    <row r="344" spans="1:12">
      <c r="A344" s="2" t="s">
        <v>526</v>
      </c>
      <c r="B344" s="2" t="s">
        <v>163</v>
      </c>
      <c r="C344" s="2" t="s">
        <v>486</v>
      </c>
      <c r="D344" s="2">
        <v>39899</v>
      </c>
      <c r="E344" s="3">
        <v>67892</v>
      </c>
      <c r="F344" s="2">
        <v>5</v>
      </c>
      <c r="G344" s="2"/>
      <c r="H344" s="2"/>
      <c r="I344" s="2"/>
      <c r="J344" s="2"/>
      <c r="K344" s="2"/>
      <c r="L344" s="2"/>
    </row>
    <row r="345" spans="1:12">
      <c r="A345" s="2" t="s">
        <v>527</v>
      </c>
      <c r="B345" s="2" t="s">
        <v>163</v>
      </c>
      <c r="C345" s="2" t="s">
        <v>486</v>
      </c>
      <c r="D345" s="2">
        <v>38367</v>
      </c>
      <c r="E345" s="3">
        <v>98537</v>
      </c>
      <c r="F345" s="2">
        <v>1</v>
      </c>
      <c r="G345" s="2"/>
      <c r="H345" s="2"/>
      <c r="I345" s="2"/>
      <c r="J345" s="2"/>
      <c r="K345" s="2"/>
      <c r="L345" s="2"/>
    </row>
    <row r="346" spans="1:12">
      <c r="A346" s="2" t="s">
        <v>528</v>
      </c>
      <c r="B346" s="2" t="s">
        <v>166</v>
      </c>
      <c r="C346" s="2" t="s">
        <v>486</v>
      </c>
      <c r="D346" s="2">
        <v>41943</v>
      </c>
      <c r="E346" s="3">
        <v>103220</v>
      </c>
      <c r="F346" s="2">
        <v>4</v>
      </c>
      <c r="G346" s="2"/>
      <c r="H346" s="2"/>
      <c r="I346" s="2"/>
      <c r="J346" s="2"/>
      <c r="K346" s="2"/>
      <c r="L346" s="2"/>
    </row>
    <row r="347" spans="1:12">
      <c r="A347" s="2" t="s">
        <v>529</v>
      </c>
      <c r="B347" s="2" t="s">
        <v>166</v>
      </c>
      <c r="C347" s="2" t="s">
        <v>530</v>
      </c>
      <c r="D347" s="2">
        <v>38132</v>
      </c>
      <c r="E347" s="3">
        <v>87063</v>
      </c>
      <c r="F347" s="2">
        <v>5</v>
      </c>
      <c r="G347" s="2"/>
      <c r="H347" s="2"/>
      <c r="I347" s="2"/>
      <c r="J347" s="2"/>
      <c r="K347" s="2"/>
      <c r="L347" s="2"/>
    </row>
    <row r="348" spans="1:12">
      <c r="A348" s="2" t="s">
        <v>531</v>
      </c>
      <c r="B348" s="2" t="s">
        <v>163</v>
      </c>
      <c r="C348" s="2" t="s">
        <v>530</v>
      </c>
      <c r="D348" s="2">
        <v>43277</v>
      </c>
      <c r="E348" s="3">
        <v>148014</v>
      </c>
      <c r="F348" s="2">
        <v>5</v>
      </c>
      <c r="G348" s="2"/>
      <c r="H348" s="2"/>
      <c r="I348" s="2"/>
      <c r="J348" s="2"/>
      <c r="K348" s="2"/>
      <c r="L348" s="2"/>
    </row>
    <row r="349" spans="1:12">
      <c r="A349" s="2" t="s">
        <v>532</v>
      </c>
      <c r="B349" s="2" t="s">
        <v>166</v>
      </c>
      <c r="C349" s="2" t="s">
        <v>530</v>
      </c>
      <c r="D349" s="2">
        <v>36243</v>
      </c>
      <c r="E349" s="3">
        <v>47610</v>
      </c>
      <c r="F349" s="2">
        <v>5</v>
      </c>
      <c r="G349" s="2"/>
      <c r="H349" s="2"/>
      <c r="I349" s="2"/>
      <c r="J349" s="2"/>
      <c r="K349" s="2"/>
      <c r="L349" s="2"/>
    </row>
    <row r="350" spans="1:12">
      <c r="A350" s="2" t="s">
        <v>533</v>
      </c>
      <c r="B350" s="2" t="s">
        <v>163</v>
      </c>
      <c r="C350" s="2" t="s">
        <v>530</v>
      </c>
      <c r="D350" s="2">
        <v>39125</v>
      </c>
      <c r="E350" s="3">
        <v>62883</v>
      </c>
      <c r="F350" s="2">
        <v>3</v>
      </c>
      <c r="G350" s="2"/>
      <c r="H350" s="2"/>
      <c r="I350" s="2"/>
      <c r="J350" s="2"/>
      <c r="K350" s="2"/>
      <c r="L350" s="2"/>
    </row>
    <row r="351" spans="1:12">
      <c r="A351" s="2" t="s">
        <v>534</v>
      </c>
      <c r="B351" s="2" t="s">
        <v>166</v>
      </c>
      <c r="C351" s="2" t="s">
        <v>530</v>
      </c>
      <c r="D351" s="2">
        <v>36303</v>
      </c>
      <c r="E351" s="3">
        <v>69224</v>
      </c>
      <c r="F351" s="2">
        <v>2</v>
      </c>
      <c r="G351" s="2"/>
      <c r="H351" s="2"/>
      <c r="I351" s="2"/>
      <c r="J351" s="2"/>
      <c r="K351" s="2"/>
      <c r="L351" s="2"/>
    </row>
    <row r="352" spans="1:12">
      <c r="A352" s="2" t="s">
        <v>535</v>
      </c>
      <c r="B352" s="2" t="s">
        <v>166</v>
      </c>
      <c r="C352" s="2" t="s">
        <v>530</v>
      </c>
      <c r="D352" s="2">
        <v>38934</v>
      </c>
      <c r="E352" s="3">
        <v>89943</v>
      </c>
      <c r="F352" s="2">
        <v>2</v>
      </c>
      <c r="G352" s="2"/>
      <c r="H352" s="2"/>
      <c r="I352" s="2"/>
      <c r="J352" s="2"/>
      <c r="K352" s="2"/>
      <c r="L352" s="2"/>
    </row>
    <row r="353" spans="1:12">
      <c r="A353" s="2" t="s">
        <v>536</v>
      </c>
      <c r="B353" s="2" t="s">
        <v>163</v>
      </c>
      <c r="C353" s="2" t="s">
        <v>530</v>
      </c>
      <c r="D353" s="2">
        <v>36498</v>
      </c>
      <c r="E353" s="3">
        <v>155696</v>
      </c>
      <c r="F353" s="2">
        <v>3</v>
      </c>
      <c r="G353" s="2"/>
      <c r="H353" s="2"/>
      <c r="I353" s="2"/>
      <c r="J353" s="2"/>
      <c r="K353" s="2"/>
      <c r="L353" s="2"/>
    </row>
    <row r="354" spans="1:12">
      <c r="A354" s="2" t="s">
        <v>537</v>
      </c>
      <c r="B354" s="2" t="s">
        <v>166</v>
      </c>
      <c r="C354" s="2" t="s">
        <v>530</v>
      </c>
      <c r="D354" s="2">
        <v>36834</v>
      </c>
      <c r="E354" s="3">
        <v>92251</v>
      </c>
      <c r="F354" s="2">
        <v>2</v>
      </c>
      <c r="G354" s="2"/>
      <c r="H354" s="2"/>
      <c r="I354" s="2"/>
      <c r="J354" s="2"/>
      <c r="K354" s="2"/>
      <c r="L354" s="2"/>
    </row>
    <row r="355" spans="1:12">
      <c r="A355" s="2" t="s">
        <v>538</v>
      </c>
      <c r="B355" s="2" t="s">
        <v>163</v>
      </c>
      <c r="C355" s="2" t="s">
        <v>530</v>
      </c>
      <c r="D355" s="2">
        <v>39105</v>
      </c>
      <c r="E355" s="3">
        <v>60372</v>
      </c>
      <c r="F355" s="2">
        <v>5</v>
      </c>
      <c r="G355" s="2"/>
      <c r="H355" s="2"/>
      <c r="I355" s="2"/>
      <c r="J355" s="2"/>
      <c r="K355" s="2"/>
      <c r="L355" s="2"/>
    </row>
    <row r="356" spans="1:12">
      <c r="A356" s="2" t="s">
        <v>539</v>
      </c>
      <c r="B356" s="2" t="s">
        <v>163</v>
      </c>
      <c r="C356" s="2" t="s">
        <v>530</v>
      </c>
      <c r="D356" s="2">
        <v>39924</v>
      </c>
      <c r="E356" s="3">
        <v>106907</v>
      </c>
      <c r="F356" s="2">
        <v>3</v>
      </c>
      <c r="G356" s="2"/>
      <c r="H356" s="2"/>
      <c r="I356" s="2"/>
      <c r="J356" s="2"/>
      <c r="K356" s="2"/>
      <c r="L356" s="2"/>
    </row>
    <row r="357" spans="1:12">
      <c r="A357" s="2" t="s">
        <v>540</v>
      </c>
      <c r="B357" s="2" t="s">
        <v>163</v>
      </c>
      <c r="C357" s="2" t="s">
        <v>530</v>
      </c>
      <c r="D357" s="2">
        <v>40641</v>
      </c>
      <c r="E357" s="3">
        <v>141440</v>
      </c>
      <c r="F357" s="2">
        <v>2</v>
      </c>
      <c r="G357" s="2"/>
      <c r="H357" s="2"/>
      <c r="I357" s="2"/>
      <c r="J357" s="2"/>
      <c r="K357" s="2"/>
      <c r="L357" s="2"/>
    </row>
    <row r="358" spans="1:12">
      <c r="A358" s="2" t="s">
        <v>541</v>
      </c>
      <c r="B358" s="2" t="s">
        <v>163</v>
      </c>
      <c r="C358" s="2" t="s">
        <v>530</v>
      </c>
      <c r="D358" s="2">
        <v>36444</v>
      </c>
      <c r="E358" s="3">
        <v>74358</v>
      </c>
      <c r="F358" s="2">
        <v>3</v>
      </c>
      <c r="G358" s="2"/>
      <c r="H358" s="2"/>
      <c r="I358" s="2"/>
      <c r="J358" s="2"/>
      <c r="K358" s="2"/>
      <c r="L358" s="2"/>
    </row>
    <row r="359" spans="1:12">
      <c r="A359" s="2" t="s">
        <v>542</v>
      </c>
      <c r="B359" s="2" t="s">
        <v>163</v>
      </c>
      <c r="C359" s="2" t="s">
        <v>530</v>
      </c>
      <c r="D359" s="2">
        <v>42828</v>
      </c>
      <c r="E359" s="3">
        <v>80028</v>
      </c>
      <c r="F359" s="2">
        <v>2</v>
      </c>
      <c r="G359" s="2"/>
      <c r="H359" s="2"/>
      <c r="I359" s="2"/>
      <c r="J359" s="2"/>
      <c r="K359" s="2"/>
      <c r="L359" s="2"/>
    </row>
    <row r="360" spans="1:12">
      <c r="A360" s="2" t="s">
        <v>543</v>
      </c>
      <c r="B360" s="2" t="s">
        <v>163</v>
      </c>
      <c r="C360" s="2" t="s">
        <v>530</v>
      </c>
      <c r="D360" s="2">
        <v>43389</v>
      </c>
      <c r="E360" s="3">
        <v>132705</v>
      </c>
      <c r="F360" s="2">
        <v>2</v>
      </c>
      <c r="G360" s="2"/>
      <c r="H360" s="2"/>
      <c r="I360" s="2"/>
      <c r="J360" s="2"/>
      <c r="K360" s="2"/>
      <c r="L360" s="2"/>
    </row>
    <row r="361" spans="1:12">
      <c r="A361" s="2" t="s">
        <v>544</v>
      </c>
      <c r="B361" s="2" t="s">
        <v>166</v>
      </c>
      <c r="C361" s="2" t="s">
        <v>530</v>
      </c>
      <c r="D361" s="2">
        <v>39153</v>
      </c>
      <c r="E361" s="3">
        <v>128745</v>
      </c>
      <c r="F361" s="2">
        <v>4</v>
      </c>
      <c r="G361" s="2"/>
      <c r="H361" s="2"/>
      <c r="I361" s="2"/>
      <c r="J361" s="2"/>
      <c r="K361" s="2"/>
      <c r="L361" s="2"/>
    </row>
    <row r="362" spans="1:12">
      <c r="A362" s="2" t="s">
        <v>545</v>
      </c>
      <c r="B362" s="2" t="s">
        <v>166</v>
      </c>
      <c r="C362" s="2" t="s">
        <v>530</v>
      </c>
      <c r="D362" s="2">
        <v>43092</v>
      </c>
      <c r="E362" s="3">
        <v>96621</v>
      </c>
      <c r="F362" s="2">
        <v>5</v>
      </c>
      <c r="G362" s="2"/>
      <c r="H362" s="2"/>
      <c r="I362" s="2"/>
      <c r="J362" s="2"/>
      <c r="K362" s="2"/>
      <c r="L362" s="2"/>
    </row>
    <row r="363" spans="1:12">
      <c r="A363" s="2" t="s">
        <v>546</v>
      </c>
      <c r="B363" s="2" t="s">
        <v>166</v>
      </c>
      <c r="C363" s="2" t="s">
        <v>530</v>
      </c>
      <c r="D363" s="2">
        <v>37977</v>
      </c>
      <c r="E363" s="3">
        <v>47274</v>
      </c>
      <c r="F363" s="2">
        <v>4</v>
      </c>
      <c r="G363" s="2"/>
      <c r="H363" s="2"/>
      <c r="I363" s="2"/>
      <c r="J363" s="2"/>
      <c r="K363" s="2"/>
      <c r="L363" s="2"/>
    </row>
    <row r="364" spans="1:12">
      <c r="A364" s="2" t="s">
        <v>547</v>
      </c>
      <c r="B364" s="2" t="s">
        <v>163</v>
      </c>
      <c r="C364" s="2" t="s">
        <v>530</v>
      </c>
      <c r="D364" s="2">
        <v>37656</v>
      </c>
      <c r="E364" s="3">
        <v>86765</v>
      </c>
      <c r="F364" s="2">
        <v>4</v>
      </c>
      <c r="G364" s="2"/>
      <c r="H364" s="2"/>
      <c r="I364" s="2"/>
      <c r="J364" s="2"/>
      <c r="K364" s="2"/>
      <c r="L364" s="2"/>
    </row>
    <row r="365" spans="1:12">
      <c r="A365" s="2" t="s">
        <v>548</v>
      </c>
      <c r="B365" s="2" t="s">
        <v>166</v>
      </c>
      <c r="C365" s="2" t="s">
        <v>530</v>
      </c>
      <c r="D365" s="2">
        <v>40586</v>
      </c>
      <c r="E365" s="3">
        <v>94066</v>
      </c>
      <c r="F365" s="2">
        <v>4</v>
      </c>
      <c r="G365" s="2"/>
      <c r="H365" s="2"/>
      <c r="I365" s="2"/>
      <c r="J365" s="2"/>
      <c r="K365" s="2"/>
      <c r="L365" s="2"/>
    </row>
    <row r="366" spans="1:12">
      <c r="A366" s="2" t="s">
        <v>549</v>
      </c>
      <c r="B366" s="2" t="s">
        <v>166</v>
      </c>
      <c r="C366" s="2" t="s">
        <v>530</v>
      </c>
      <c r="D366" s="2">
        <v>38103</v>
      </c>
      <c r="E366" s="3">
        <v>72205</v>
      </c>
      <c r="F366" s="2">
        <v>5</v>
      </c>
      <c r="G366" s="2"/>
      <c r="H366" s="2"/>
      <c r="I366" s="2"/>
      <c r="J366" s="2"/>
      <c r="K366" s="2"/>
      <c r="L366" s="2"/>
    </row>
    <row r="367" spans="1:12">
      <c r="A367" s="2" t="s">
        <v>550</v>
      </c>
      <c r="B367" s="2" t="s">
        <v>166</v>
      </c>
      <c r="C367" s="2" t="s">
        <v>530</v>
      </c>
      <c r="D367" s="2">
        <v>38268</v>
      </c>
      <c r="E367" s="3">
        <v>115860</v>
      </c>
      <c r="F367" s="2">
        <v>3</v>
      </c>
      <c r="G367" s="2"/>
      <c r="H367" s="2"/>
      <c r="I367" s="2"/>
      <c r="J367" s="2"/>
      <c r="K367" s="2"/>
      <c r="L367" s="2"/>
    </row>
    <row r="368" spans="1:12">
      <c r="A368" s="2" t="s">
        <v>551</v>
      </c>
      <c r="B368" s="2" t="s">
        <v>166</v>
      </c>
      <c r="C368" s="2" t="s">
        <v>530</v>
      </c>
      <c r="D368" s="2">
        <v>38942</v>
      </c>
      <c r="E368" s="3">
        <v>102717</v>
      </c>
      <c r="F368" s="2">
        <v>2</v>
      </c>
      <c r="G368" s="2"/>
      <c r="H368" s="2"/>
      <c r="I368" s="2"/>
      <c r="J368" s="2"/>
      <c r="K368" s="2"/>
      <c r="L368" s="2"/>
    </row>
    <row r="369" spans="1:12">
      <c r="A369" s="2" t="s">
        <v>552</v>
      </c>
      <c r="B369" s="2" t="s">
        <v>166</v>
      </c>
      <c r="C369" s="2" t="s">
        <v>530</v>
      </c>
      <c r="D369" s="2">
        <v>38686</v>
      </c>
      <c r="E369" s="3">
        <v>130090</v>
      </c>
      <c r="F369" s="2">
        <v>1</v>
      </c>
      <c r="G369" s="2"/>
      <c r="H369" s="2"/>
      <c r="I369" s="2"/>
      <c r="J369" s="2"/>
      <c r="K369" s="2"/>
      <c r="L369" s="2"/>
    </row>
    <row r="370" spans="1:12">
      <c r="A370" s="2" t="s">
        <v>553</v>
      </c>
      <c r="B370" s="2" t="s">
        <v>166</v>
      </c>
      <c r="C370" s="2" t="s">
        <v>530</v>
      </c>
      <c r="D370" s="2">
        <v>38382</v>
      </c>
      <c r="E370" s="3">
        <v>93641</v>
      </c>
      <c r="F370" s="2">
        <v>3</v>
      </c>
      <c r="G370" s="2"/>
      <c r="H370" s="2"/>
      <c r="I370" s="2"/>
      <c r="J370" s="2"/>
      <c r="K370" s="2"/>
      <c r="L370" s="2"/>
    </row>
    <row r="371" spans="1:12">
      <c r="A371" s="2" t="s">
        <v>554</v>
      </c>
      <c r="B371" s="2" t="s">
        <v>163</v>
      </c>
      <c r="C371" s="2" t="s">
        <v>530</v>
      </c>
      <c r="D371" s="2">
        <v>38795</v>
      </c>
      <c r="E371" s="3">
        <v>117383</v>
      </c>
      <c r="F371" s="2">
        <v>5</v>
      </c>
      <c r="G371" s="2"/>
      <c r="H371" s="2"/>
      <c r="I371" s="2"/>
      <c r="J371" s="2"/>
      <c r="K371" s="2"/>
      <c r="L371" s="2"/>
    </row>
    <row r="372" spans="1:12">
      <c r="A372" s="2" t="s">
        <v>555</v>
      </c>
      <c r="B372" s="2" t="s">
        <v>163</v>
      </c>
      <c r="C372" s="2" t="s">
        <v>530</v>
      </c>
      <c r="D372" s="2">
        <v>36476</v>
      </c>
      <c r="E372" s="3">
        <v>142641</v>
      </c>
      <c r="F372" s="2">
        <v>5</v>
      </c>
      <c r="G372" s="2"/>
      <c r="H372" s="2"/>
      <c r="I372" s="2"/>
      <c r="J372" s="2"/>
      <c r="K372" s="2"/>
      <c r="L372" s="2"/>
    </row>
    <row r="373" spans="1:12">
      <c r="A373" s="2" t="s">
        <v>556</v>
      </c>
      <c r="B373" s="2" t="s">
        <v>166</v>
      </c>
      <c r="C373" s="2" t="s">
        <v>530</v>
      </c>
      <c r="D373" s="2">
        <v>42302</v>
      </c>
      <c r="E373" s="3">
        <v>51879</v>
      </c>
      <c r="F373" s="2">
        <v>2</v>
      </c>
      <c r="G373" s="2"/>
      <c r="H373" s="2"/>
      <c r="I373" s="2"/>
      <c r="J373" s="2"/>
      <c r="K373" s="2"/>
      <c r="L373" s="2"/>
    </row>
    <row r="374" spans="1:12">
      <c r="A374" s="2" t="s">
        <v>557</v>
      </c>
      <c r="B374" s="2" t="s">
        <v>166</v>
      </c>
      <c r="C374" s="2" t="s">
        <v>530</v>
      </c>
      <c r="D374" s="2">
        <v>38580</v>
      </c>
      <c r="E374" s="3">
        <v>71051</v>
      </c>
      <c r="F374" s="2">
        <v>3</v>
      </c>
      <c r="G374" s="2"/>
      <c r="H374" s="2"/>
      <c r="I374" s="2"/>
      <c r="J374" s="2"/>
      <c r="K374" s="2"/>
      <c r="L374" s="2"/>
    </row>
    <row r="375" spans="1:12">
      <c r="A375" s="2" t="s">
        <v>558</v>
      </c>
      <c r="B375" s="2" t="s">
        <v>166</v>
      </c>
      <c r="C375" s="2" t="s">
        <v>530</v>
      </c>
      <c r="D375" s="2">
        <v>37596</v>
      </c>
      <c r="E375" s="3">
        <v>69438</v>
      </c>
      <c r="F375" s="2">
        <v>4</v>
      </c>
      <c r="G375" s="2"/>
      <c r="H375" s="2"/>
      <c r="I375" s="2"/>
      <c r="J375" s="2"/>
      <c r="K375" s="2"/>
      <c r="L375" s="2"/>
    </row>
    <row r="376" spans="1:12">
      <c r="A376" s="2" t="s">
        <v>559</v>
      </c>
      <c r="B376" s="2" t="s">
        <v>163</v>
      </c>
      <c r="C376" s="2" t="s">
        <v>530</v>
      </c>
      <c r="D376" s="2">
        <v>42778</v>
      </c>
      <c r="E376" s="3">
        <v>89735</v>
      </c>
      <c r="F376" s="2">
        <v>1</v>
      </c>
      <c r="G376" s="2"/>
      <c r="H376" s="2"/>
      <c r="I376" s="2"/>
      <c r="J376" s="2"/>
      <c r="K376" s="2"/>
      <c r="L376" s="2"/>
    </row>
    <row r="377" spans="1:12">
      <c r="A377" s="2" t="s">
        <v>560</v>
      </c>
      <c r="B377" s="2" t="s">
        <v>163</v>
      </c>
      <c r="C377" s="2" t="s">
        <v>530</v>
      </c>
      <c r="D377" s="2">
        <v>43091</v>
      </c>
      <c r="E377" s="3">
        <v>63734</v>
      </c>
      <c r="F377" s="2">
        <v>1</v>
      </c>
      <c r="G377" s="2"/>
      <c r="H377" s="2"/>
      <c r="I377" s="2"/>
      <c r="J377" s="2"/>
      <c r="K377" s="2"/>
      <c r="L377" s="2"/>
    </row>
    <row r="378" spans="1:12">
      <c r="A378" s="2" t="s">
        <v>561</v>
      </c>
      <c r="B378" s="2" t="s">
        <v>166</v>
      </c>
      <c r="C378" s="2" t="s">
        <v>530</v>
      </c>
      <c r="D378" s="2">
        <v>38940</v>
      </c>
      <c r="E378" s="3">
        <v>60059</v>
      </c>
      <c r="F378" s="2">
        <v>5</v>
      </c>
      <c r="G378" s="2"/>
      <c r="H378" s="2"/>
      <c r="I378" s="2"/>
      <c r="J378" s="2"/>
      <c r="K378" s="2"/>
      <c r="L378" s="2"/>
    </row>
    <row r="379" spans="1:12">
      <c r="A379" s="2" t="s">
        <v>562</v>
      </c>
      <c r="B379" s="2" t="s">
        <v>163</v>
      </c>
      <c r="C379" s="2" t="s">
        <v>530</v>
      </c>
      <c r="D379" s="2">
        <v>43119</v>
      </c>
      <c r="E379" s="3">
        <v>127103</v>
      </c>
      <c r="F379" s="2">
        <v>1</v>
      </c>
      <c r="G379" s="2"/>
      <c r="H379" s="2"/>
      <c r="I379" s="2"/>
      <c r="J379" s="2"/>
      <c r="K379" s="2"/>
      <c r="L379" s="2"/>
    </row>
    <row r="380" spans="1:12">
      <c r="A380" s="2" t="s">
        <v>563</v>
      </c>
      <c r="B380" s="2" t="s">
        <v>163</v>
      </c>
      <c r="C380" s="2" t="s">
        <v>530</v>
      </c>
      <c r="D380" s="2">
        <v>37281</v>
      </c>
      <c r="E380" s="3">
        <v>61236</v>
      </c>
      <c r="F380" s="2">
        <v>3</v>
      </c>
      <c r="G380" s="2"/>
      <c r="H380" s="2"/>
      <c r="I380" s="2"/>
      <c r="J380" s="2"/>
      <c r="K380" s="2"/>
      <c r="L380" s="2"/>
    </row>
    <row r="381" spans="1:12">
      <c r="A381" s="2" t="s">
        <v>564</v>
      </c>
      <c r="B381" s="2" t="s">
        <v>163</v>
      </c>
      <c r="C381" s="2" t="s">
        <v>530</v>
      </c>
      <c r="D381" s="2">
        <v>36084</v>
      </c>
      <c r="E381" s="3">
        <v>65097</v>
      </c>
      <c r="F381" s="2">
        <v>5</v>
      </c>
      <c r="G381" s="2"/>
      <c r="H381" s="2"/>
      <c r="I381" s="2"/>
      <c r="J381" s="2"/>
      <c r="K381" s="2"/>
      <c r="L381" s="2"/>
    </row>
    <row r="382" spans="1:12">
      <c r="A382" s="2" t="s">
        <v>565</v>
      </c>
      <c r="B382" s="2" t="s">
        <v>163</v>
      </c>
      <c r="C382" s="2" t="s">
        <v>530</v>
      </c>
      <c r="D382" s="2">
        <v>38909</v>
      </c>
      <c r="E382" s="3">
        <v>146178</v>
      </c>
      <c r="F382" s="2">
        <v>2</v>
      </c>
      <c r="G382" s="2"/>
      <c r="H382" s="2"/>
      <c r="I382" s="2"/>
      <c r="J382" s="2"/>
      <c r="K382" s="2"/>
      <c r="L382" s="2"/>
    </row>
    <row r="383" spans="1:12">
      <c r="A383" s="2" t="s">
        <v>566</v>
      </c>
      <c r="B383" s="2" t="s">
        <v>163</v>
      </c>
      <c r="C383" s="2" t="s">
        <v>530</v>
      </c>
      <c r="D383" s="2">
        <v>40739</v>
      </c>
      <c r="E383" s="3">
        <v>129330</v>
      </c>
      <c r="F383" s="2">
        <v>4</v>
      </c>
      <c r="G383" s="2"/>
      <c r="H383" s="2"/>
      <c r="I383" s="2"/>
      <c r="J383" s="2"/>
      <c r="K383" s="2"/>
      <c r="L383" s="2"/>
    </row>
    <row r="384" spans="1:12">
      <c r="A384" s="2" t="s">
        <v>567</v>
      </c>
      <c r="B384" s="2" t="s">
        <v>166</v>
      </c>
      <c r="C384" s="2" t="s">
        <v>530</v>
      </c>
      <c r="D384" s="2">
        <v>36837</v>
      </c>
      <c r="E384" s="3">
        <v>47980</v>
      </c>
      <c r="F384" s="2">
        <v>3</v>
      </c>
      <c r="G384" s="2"/>
      <c r="H384" s="2"/>
      <c r="I384" s="2"/>
      <c r="J384" s="2"/>
      <c r="K384" s="2"/>
      <c r="L384" s="2"/>
    </row>
    <row r="385" spans="1:12">
      <c r="A385" s="2" t="s">
        <v>568</v>
      </c>
      <c r="B385" s="2" t="s">
        <v>163</v>
      </c>
      <c r="C385" s="2" t="s">
        <v>530</v>
      </c>
      <c r="D385" s="2">
        <v>40671</v>
      </c>
      <c r="E385" s="3">
        <v>115857</v>
      </c>
      <c r="F385" s="2">
        <v>5</v>
      </c>
      <c r="G385" s="2"/>
      <c r="H385" s="2"/>
      <c r="I385" s="2"/>
      <c r="J385" s="2"/>
      <c r="K385" s="2"/>
      <c r="L385" s="2"/>
    </row>
    <row r="386" spans="1:12">
      <c r="A386" s="2" t="s">
        <v>569</v>
      </c>
      <c r="B386" s="2" t="s">
        <v>163</v>
      </c>
      <c r="C386" s="2" t="s">
        <v>530</v>
      </c>
      <c r="D386" s="2">
        <v>36877</v>
      </c>
      <c r="E386" s="3">
        <v>86279</v>
      </c>
      <c r="F386" s="2">
        <v>3</v>
      </c>
      <c r="G386" s="2"/>
      <c r="H386" s="2"/>
      <c r="I386" s="2"/>
      <c r="J386" s="2"/>
      <c r="K386" s="2"/>
      <c r="L386" s="2"/>
    </row>
    <row r="387" spans="1:12">
      <c r="A387" s="2" t="s">
        <v>570</v>
      </c>
      <c r="B387" s="2" t="s">
        <v>166</v>
      </c>
      <c r="C387" s="2" t="s">
        <v>530</v>
      </c>
      <c r="D387" s="2">
        <v>37015</v>
      </c>
      <c r="E387" s="3">
        <v>69202</v>
      </c>
      <c r="F387" s="2">
        <v>5</v>
      </c>
      <c r="G387" s="2"/>
      <c r="H387" s="2"/>
      <c r="I387" s="2"/>
      <c r="J387" s="2"/>
      <c r="K387" s="2"/>
      <c r="L387" s="2"/>
    </row>
    <row r="388" spans="1:12">
      <c r="A388" s="2" t="s">
        <v>571</v>
      </c>
      <c r="B388" s="2" t="s">
        <v>166</v>
      </c>
      <c r="C388" s="2" t="s">
        <v>530</v>
      </c>
      <c r="D388" s="2">
        <v>43294</v>
      </c>
      <c r="E388" s="3">
        <v>49661</v>
      </c>
      <c r="F388" s="2">
        <v>5</v>
      </c>
      <c r="G388" s="2"/>
      <c r="H388" s="2"/>
      <c r="I388" s="2"/>
      <c r="J388" s="2"/>
      <c r="K388" s="2"/>
      <c r="L388" s="2"/>
    </row>
    <row r="389" spans="1:12">
      <c r="A389" s="2" t="s">
        <v>572</v>
      </c>
      <c r="B389" s="2" t="s">
        <v>166</v>
      </c>
      <c r="C389" s="2" t="s">
        <v>530</v>
      </c>
      <c r="D389" s="2">
        <v>39475</v>
      </c>
      <c r="E389" s="3">
        <v>103680</v>
      </c>
      <c r="F389" s="2">
        <v>5</v>
      </c>
      <c r="G389" s="2"/>
      <c r="H389" s="2"/>
      <c r="I389" s="2"/>
      <c r="J389" s="2"/>
      <c r="K389" s="2"/>
      <c r="L389" s="2"/>
    </row>
    <row r="390" spans="1:12">
      <c r="A390" s="2" t="s">
        <v>573</v>
      </c>
      <c r="B390" s="2" t="s">
        <v>163</v>
      </c>
      <c r="C390" s="2" t="s">
        <v>530</v>
      </c>
      <c r="D390" s="2">
        <v>36923</v>
      </c>
      <c r="E390" s="3">
        <v>57726</v>
      </c>
      <c r="F390" s="2">
        <v>4</v>
      </c>
      <c r="G390" s="2"/>
      <c r="H390" s="2"/>
      <c r="I390" s="2"/>
      <c r="J390" s="2"/>
      <c r="K390" s="2"/>
      <c r="L390" s="2"/>
    </row>
    <row r="391" spans="1:12">
      <c r="A391" s="2" t="s">
        <v>574</v>
      </c>
      <c r="B391" s="2" t="s">
        <v>163</v>
      </c>
      <c r="C391" s="2" t="s">
        <v>575</v>
      </c>
      <c r="D391" s="2">
        <v>43266</v>
      </c>
      <c r="E391" s="3">
        <v>73116</v>
      </c>
      <c r="F391" s="2">
        <v>5</v>
      </c>
      <c r="G391" s="2"/>
      <c r="H391" s="2"/>
      <c r="I391" s="2"/>
      <c r="J391" s="2"/>
      <c r="K391" s="2"/>
      <c r="L391" s="2"/>
    </row>
    <row r="392" spans="1:12">
      <c r="A392" s="2" t="s">
        <v>576</v>
      </c>
      <c r="B392" s="2" t="s">
        <v>166</v>
      </c>
      <c r="C392" s="2" t="s">
        <v>575</v>
      </c>
      <c r="D392" s="2">
        <v>36887</v>
      </c>
      <c r="E392" s="3">
        <v>63835</v>
      </c>
      <c r="F392" s="2">
        <v>5</v>
      </c>
      <c r="G392" s="2"/>
      <c r="H392" s="2"/>
      <c r="I392" s="2"/>
      <c r="J392" s="2"/>
      <c r="K392" s="2"/>
      <c r="L392" s="2"/>
    </row>
    <row r="393" spans="1:12">
      <c r="A393" s="2" t="s">
        <v>577</v>
      </c>
      <c r="B393" s="2" t="s">
        <v>166</v>
      </c>
      <c r="C393" s="2" t="s">
        <v>575</v>
      </c>
      <c r="D393" s="2">
        <v>43059</v>
      </c>
      <c r="E393" s="3">
        <v>94974</v>
      </c>
      <c r="F393" s="2">
        <v>5</v>
      </c>
      <c r="G393" s="2"/>
      <c r="H393" s="2"/>
      <c r="I393" s="2"/>
      <c r="J393" s="2"/>
      <c r="K393" s="2"/>
      <c r="L393" s="2"/>
    </row>
    <row r="394" spans="1:12">
      <c r="A394" s="2" t="s">
        <v>578</v>
      </c>
      <c r="B394" s="2" t="s">
        <v>166</v>
      </c>
      <c r="C394" s="2" t="s">
        <v>579</v>
      </c>
      <c r="D394" s="2">
        <v>43399</v>
      </c>
      <c r="E394" s="3">
        <v>69628</v>
      </c>
      <c r="F394" s="2">
        <v>1</v>
      </c>
      <c r="G394" s="2"/>
      <c r="H394" s="2"/>
      <c r="I394" s="2"/>
      <c r="J394" s="2"/>
      <c r="K394" s="2"/>
      <c r="L394" s="2"/>
    </row>
    <row r="395" spans="1:12">
      <c r="E395" s="3"/>
    </row>
    <row r="396" spans="1:12">
      <c r="E396" s="3"/>
    </row>
    <row r="397" spans="1:12">
      <c r="E397" s="3"/>
    </row>
    <row r="398" spans="1:12">
      <c r="E398" s="3"/>
    </row>
    <row r="399" spans="1:12">
      <c r="E399" s="3"/>
    </row>
    <row r="400" spans="1:12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27" spans="5:5">
      <c r="E627" s="3"/>
    </row>
    <row r="628" spans="5:5">
      <c r="E628" s="3"/>
    </row>
    <row r="629" spans="5:5">
      <c r="E629" s="3"/>
    </row>
    <row r="630" spans="5:5">
      <c r="E630" s="3"/>
    </row>
    <row r="631" spans="5:5">
      <c r="E631" s="3"/>
    </row>
    <row r="632" spans="5:5">
      <c r="E632" s="3"/>
    </row>
    <row r="633" spans="5:5">
      <c r="E633" s="3"/>
    </row>
    <row r="634" spans="5:5">
      <c r="E634" s="3"/>
    </row>
    <row r="635" spans="5:5">
      <c r="E635" s="3"/>
    </row>
    <row r="636" spans="5:5">
      <c r="E636" s="3"/>
    </row>
    <row r="637" spans="5:5">
      <c r="E637" s="3"/>
    </row>
    <row r="638" spans="5:5">
      <c r="E638" s="3"/>
    </row>
    <row r="639" spans="5:5">
      <c r="E639" s="3"/>
    </row>
    <row r="640" spans="5:5">
      <c r="E640" s="3"/>
    </row>
    <row r="641" spans="5:5">
      <c r="E641" s="3"/>
    </row>
    <row r="642" spans="5:5">
      <c r="E642" s="3"/>
    </row>
    <row r="643" spans="5:5">
      <c r="E643" s="3"/>
    </row>
    <row r="644" spans="5:5">
      <c r="E644" s="3"/>
    </row>
    <row r="645" spans="5:5">
      <c r="E645" s="3"/>
    </row>
    <row r="646" spans="5:5">
      <c r="E646" s="3"/>
    </row>
    <row r="647" spans="5:5">
      <c r="E647" s="3"/>
    </row>
    <row r="648" spans="5:5">
      <c r="E648" s="3"/>
    </row>
    <row r="649" spans="5:5">
      <c r="E649" s="3"/>
    </row>
    <row r="650" spans="5:5">
      <c r="E650" s="3"/>
    </row>
    <row r="651" spans="5:5">
      <c r="E651" s="3"/>
    </row>
    <row r="652" spans="5:5">
      <c r="E652" s="3"/>
    </row>
    <row r="653" spans="5:5">
      <c r="E653" s="3"/>
    </row>
    <row r="654" spans="5:5">
      <c r="E654" s="3"/>
    </row>
    <row r="655" spans="5:5">
      <c r="E655" s="3"/>
    </row>
    <row r="656" spans="5:5">
      <c r="E656" s="3"/>
    </row>
    <row r="657" spans="5:5">
      <c r="E657" s="3"/>
    </row>
    <row r="658" spans="5:5">
      <c r="E658" s="3"/>
    </row>
    <row r="659" spans="5:5">
      <c r="E659" s="3"/>
    </row>
    <row r="660" spans="5:5">
      <c r="E660" s="3"/>
    </row>
    <row r="661" spans="5:5">
      <c r="E661" s="3"/>
    </row>
    <row r="662" spans="5:5">
      <c r="E662" s="3"/>
    </row>
    <row r="663" spans="5:5">
      <c r="E663" s="3"/>
    </row>
    <row r="664" spans="5:5">
      <c r="E664" s="3"/>
    </row>
    <row r="665" spans="5:5">
      <c r="E665" s="3"/>
    </row>
    <row r="666" spans="5:5">
      <c r="E666" s="3"/>
    </row>
    <row r="667" spans="5:5">
      <c r="E667" s="3"/>
    </row>
    <row r="668" spans="5:5">
      <c r="E668" s="3"/>
    </row>
    <row r="669" spans="5:5">
      <c r="E669" s="3"/>
    </row>
    <row r="670" spans="5:5">
      <c r="E670" s="3"/>
    </row>
    <row r="671" spans="5:5">
      <c r="E671" s="3"/>
    </row>
    <row r="672" spans="5:5">
      <c r="E672" s="3"/>
    </row>
    <row r="673" spans="5:5">
      <c r="E673" s="3"/>
    </row>
    <row r="674" spans="5:5">
      <c r="E674" s="3"/>
    </row>
    <row r="675" spans="5:5">
      <c r="E675" s="3"/>
    </row>
    <row r="676" spans="5:5">
      <c r="E676" s="3"/>
    </row>
    <row r="677" spans="5:5">
      <c r="E677" s="3"/>
    </row>
    <row r="678" spans="5:5">
      <c r="E678" s="3"/>
    </row>
    <row r="679" spans="5:5">
      <c r="E679" s="3"/>
    </row>
    <row r="680" spans="5:5">
      <c r="E680" s="3"/>
    </row>
    <row r="681" spans="5:5">
      <c r="E681" s="3"/>
    </row>
    <row r="682" spans="5:5">
      <c r="E682" s="3"/>
    </row>
    <row r="683" spans="5:5">
      <c r="E683" s="3"/>
    </row>
    <row r="684" spans="5:5">
      <c r="E684" s="3"/>
    </row>
    <row r="685" spans="5:5">
      <c r="E685" s="3"/>
    </row>
    <row r="686" spans="5:5">
      <c r="E686" s="3"/>
    </row>
    <row r="687" spans="5:5">
      <c r="E687" s="3"/>
    </row>
    <row r="688" spans="5:5">
      <c r="E688" s="3"/>
    </row>
    <row r="689" spans="5:5">
      <c r="E689" s="3"/>
    </row>
    <row r="690" spans="5:5">
      <c r="E690" s="3"/>
    </row>
    <row r="691" spans="5:5">
      <c r="E691" s="3"/>
    </row>
    <row r="692" spans="5:5">
      <c r="E692" s="3"/>
    </row>
    <row r="693" spans="5:5">
      <c r="E693" s="3"/>
    </row>
    <row r="694" spans="5:5">
      <c r="E694" s="3"/>
    </row>
    <row r="695" spans="5:5">
      <c r="E695" s="3"/>
    </row>
    <row r="696" spans="5:5">
      <c r="E696" s="3"/>
    </row>
    <row r="697" spans="5:5">
      <c r="E697" s="3"/>
    </row>
    <row r="698" spans="5:5">
      <c r="E698" s="3"/>
    </row>
    <row r="699" spans="5:5">
      <c r="E699" s="3"/>
    </row>
    <row r="700" spans="5:5">
      <c r="E700" s="3"/>
    </row>
    <row r="701" spans="5:5">
      <c r="E701" s="3"/>
    </row>
    <row r="702" spans="5:5">
      <c r="E702" s="3"/>
    </row>
    <row r="703" spans="5:5">
      <c r="E703" s="3"/>
    </row>
    <row r="704" spans="5:5">
      <c r="E704" s="3"/>
    </row>
    <row r="705" spans="5:5">
      <c r="E705" s="3"/>
    </row>
    <row r="706" spans="5:5">
      <c r="E706" s="3"/>
    </row>
    <row r="707" spans="5:5">
      <c r="E707" s="3"/>
    </row>
    <row r="708" spans="5:5">
      <c r="E708" s="3"/>
    </row>
    <row r="709" spans="5:5">
      <c r="E709" s="3"/>
    </row>
    <row r="710" spans="5:5">
      <c r="E710" s="3"/>
    </row>
    <row r="711" spans="5:5">
      <c r="E711" s="3"/>
    </row>
    <row r="712" spans="5:5">
      <c r="E712" s="3"/>
    </row>
    <row r="713" spans="5:5">
      <c r="E713" s="3"/>
    </row>
    <row r="714" spans="5:5">
      <c r="E714" s="3"/>
    </row>
    <row r="715" spans="5:5">
      <c r="E715" s="3"/>
    </row>
    <row r="716" spans="5:5">
      <c r="E716" s="3"/>
    </row>
    <row r="717" spans="5:5">
      <c r="E717" s="3"/>
    </row>
    <row r="718" spans="5:5">
      <c r="E718" s="3"/>
    </row>
    <row r="719" spans="5:5">
      <c r="E719" s="3"/>
    </row>
    <row r="720" spans="5:5">
      <c r="E720" s="3"/>
    </row>
    <row r="721" spans="5:5">
      <c r="E721" s="3"/>
    </row>
    <row r="722" spans="5:5">
      <c r="E722" s="3"/>
    </row>
    <row r="723" spans="5:5">
      <c r="E723" s="3"/>
    </row>
    <row r="724" spans="5:5">
      <c r="E724" s="3"/>
    </row>
    <row r="725" spans="5:5">
      <c r="E725" s="3"/>
    </row>
    <row r="726" spans="5:5">
      <c r="E726" s="3"/>
    </row>
    <row r="727" spans="5:5">
      <c r="E727" s="3"/>
    </row>
    <row r="728" spans="5:5">
      <c r="E728" s="3"/>
    </row>
    <row r="729" spans="5:5">
      <c r="E729" s="3"/>
    </row>
    <row r="730" spans="5:5">
      <c r="E730" s="3"/>
    </row>
    <row r="731" spans="5:5">
      <c r="E731" s="3"/>
    </row>
    <row r="732" spans="5:5">
      <c r="E732" s="3"/>
    </row>
    <row r="733" spans="5:5">
      <c r="E733" s="3"/>
    </row>
    <row r="734" spans="5:5">
      <c r="E734" s="3"/>
    </row>
    <row r="735" spans="5:5">
      <c r="E735" s="3"/>
    </row>
    <row r="736" spans="5:5">
      <c r="E736" s="3"/>
    </row>
    <row r="737" spans="5:5">
      <c r="E737" s="3"/>
    </row>
    <row r="738" spans="5:5">
      <c r="E738" s="3"/>
    </row>
    <row r="739" spans="5:5">
      <c r="E739" s="3"/>
    </row>
    <row r="740" spans="5:5">
      <c r="E740" s="3"/>
    </row>
    <row r="741" spans="5:5">
      <c r="E741" s="3"/>
    </row>
    <row r="742" spans="5:5">
      <c r="E742" s="3"/>
    </row>
    <row r="743" spans="5:5">
      <c r="E743" s="3"/>
    </row>
    <row r="744" spans="5:5">
      <c r="E744" s="3"/>
    </row>
    <row r="745" spans="5:5">
      <c r="E745" s="3"/>
    </row>
    <row r="746" spans="5:5">
      <c r="E746" s="3"/>
    </row>
    <row r="747" spans="5:5">
      <c r="E747" s="3"/>
    </row>
    <row r="748" spans="5:5">
      <c r="E748" s="3"/>
    </row>
    <row r="749" spans="5:5">
      <c r="E749" s="3"/>
    </row>
    <row r="750" spans="5:5">
      <c r="E750" s="3"/>
    </row>
    <row r="751" spans="5:5">
      <c r="E751" s="3"/>
    </row>
    <row r="752" spans="5:5">
      <c r="E752" s="3"/>
    </row>
    <row r="753" spans="5:5">
      <c r="E753" s="3"/>
    </row>
    <row r="754" spans="5:5">
      <c r="E754" s="3"/>
    </row>
    <row r="755" spans="5:5">
      <c r="E755" s="3"/>
    </row>
    <row r="756" spans="5:5">
      <c r="E756" s="3"/>
    </row>
    <row r="757" spans="5:5">
      <c r="E757" s="3"/>
    </row>
    <row r="758" spans="5:5">
      <c r="E758" s="3"/>
    </row>
    <row r="759" spans="5:5">
      <c r="E759" s="3"/>
    </row>
    <row r="760" spans="5:5">
      <c r="E760" s="3"/>
    </row>
    <row r="761" spans="5:5">
      <c r="E761" s="3"/>
    </row>
    <row r="762" spans="5:5">
      <c r="E762" s="3"/>
    </row>
    <row r="763" spans="5:5">
      <c r="E763" s="3"/>
    </row>
    <row r="764" spans="5:5">
      <c r="E764" s="3"/>
    </row>
    <row r="765" spans="5:5">
      <c r="E765" s="3"/>
    </row>
    <row r="766" spans="5:5">
      <c r="E766" s="3"/>
    </row>
    <row r="767" spans="5:5">
      <c r="E767" s="3"/>
    </row>
    <row r="768" spans="5:5">
      <c r="E768" s="3"/>
    </row>
    <row r="769" spans="5:5">
      <c r="E769" s="3"/>
    </row>
    <row r="770" spans="5:5">
      <c r="E770" s="3"/>
    </row>
    <row r="771" spans="5:5">
      <c r="E771" s="3"/>
    </row>
    <row r="772" spans="5:5">
      <c r="E772" s="3"/>
    </row>
    <row r="773" spans="5:5">
      <c r="E773" s="3"/>
    </row>
    <row r="774" spans="5:5">
      <c r="E774" s="3"/>
    </row>
    <row r="775" spans="5:5">
      <c r="E775" s="3"/>
    </row>
    <row r="776" spans="5:5">
      <c r="E776" s="3"/>
    </row>
    <row r="777" spans="5:5">
      <c r="E777" s="3"/>
    </row>
    <row r="778" spans="5:5">
      <c r="E778" s="3"/>
    </row>
    <row r="779" spans="5:5">
      <c r="E779" s="3"/>
    </row>
    <row r="780" spans="5:5">
      <c r="E780" s="3"/>
    </row>
    <row r="781" spans="5:5">
      <c r="E781" s="3"/>
    </row>
    <row r="782" spans="5:5">
      <c r="E782" s="3"/>
    </row>
    <row r="783" spans="5:5">
      <c r="E783" s="3"/>
    </row>
    <row r="784" spans="5:5">
      <c r="E784" s="3"/>
    </row>
    <row r="785" spans="5:5">
      <c r="E785" s="3"/>
    </row>
    <row r="786" spans="5:5">
      <c r="E786" s="3"/>
    </row>
    <row r="787" spans="5:5">
      <c r="E787" s="3"/>
    </row>
    <row r="788" spans="5:5">
      <c r="E788" s="3"/>
    </row>
    <row r="789" spans="5:5">
      <c r="E789" s="3"/>
    </row>
    <row r="790" spans="5:5">
      <c r="E790" s="3"/>
    </row>
    <row r="791" spans="5:5">
      <c r="E791" s="3"/>
    </row>
    <row r="792" spans="5:5">
      <c r="E792" s="3"/>
    </row>
    <row r="793" spans="5:5">
      <c r="E793" s="3"/>
    </row>
    <row r="794" spans="5:5">
      <c r="E794" s="3"/>
    </row>
    <row r="795" spans="5:5">
      <c r="E795" s="3"/>
    </row>
    <row r="796" spans="5:5">
      <c r="E796" s="3"/>
    </row>
    <row r="797" spans="5:5">
      <c r="E797" s="3"/>
    </row>
    <row r="798" spans="5:5">
      <c r="E798" s="3"/>
    </row>
    <row r="799" spans="5:5">
      <c r="E799" s="3"/>
    </row>
    <row r="800" spans="5:5">
      <c r="E800" s="3"/>
    </row>
    <row r="801" spans="5:5">
      <c r="E801" s="3"/>
    </row>
    <row r="802" spans="5:5">
      <c r="E802" s="3"/>
    </row>
    <row r="803" spans="5:5">
      <c r="E803" s="3"/>
    </row>
    <row r="804" spans="5:5">
      <c r="E804" s="3"/>
    </row>
    <row r="805" spans="5:5">
      <c r="E805" s="3"/>
    </row>
    <row r="806" spans="5:5">
      <c r="E806" s="3"/>
    </row>
    <row r="807" spans="5:5">
      <c r="E807" s="3"/>
    </row>
    <row r="808" spans="5:5">
      <c r="E808" s="3"/>
    </row>
    <row r="809" spans="5:5">
      <c r="E809" s="3"/>
    </row>
    <row r="810" spans="5:5">
      <c r="E810" s="3"/>
    </row>
    <row r="811" spans="5:5">
      <c r="E811" s="3"/>
    </row>
    <row r="812" spans="5:5">
      <c r="E812" s="3"/>
    </row>
    <row r="813" spans="5:5">
      <c r="E813" s="3"/>
    </row>
    <row r="814" spans="5:5">
      <c r="E814" s="3"/>
    </row>
    <row r="815" spans="5:5">
      <c r="E815" s="3"/>
    </row>
    <row r="816" spans="5:5">
      <c r="E816" s="3"/>
    </row>
    <row r="817" spans="5:5">
      <c r="E817" s="3"/>
    </row>
    <row r="818" spans="5:5">
      <c r="E818" s="3"/>
    </row>
    <row r="819" spans="5:5">
      <c r="E819" s="3"/>
    </row>
    <row r="820" spans="5:5">
      <c r="E820" s="3"/>
    </row>
    <row r="821" spans="5:5">
      <c r="E821" s="3"/>
    </row>
    <row r="822" spans="5:5">
      <c r="E822" s="3"/>
    </row>
    <row r="823" spans="5:5">
      <c r="E823" s="3"/>
    </row>
    <row r="824" spans="5:5">
      <c r="E824" s="3"/>
    </row>
    <row r="825" spans="5:5">
      <c r="E825" s="3"/>
    </row>
    <row r="826" spans="5:5">
      <c r="E826" s="3"/>
    </row>
    <row r="827" spans="5:5">
      <c r="E827" s="3"/>
    </row>
    <row r="828" spans="5:5">
      <c r="E828" s="3"/>
    </row>
    <row r="829" spans="5:5">
      <c r="E829" s="3"/>
    </row>
    <row r="830" spans="5:5">
      <c r="E830" s="3"/>
    </row>
    <row r="831" spans="5:5">
      <c r="E831" s="3"/>
    </row>
    <row r="832" spans="5:5">
      <c r="E832" s="3"/>
    </row>
    <row r="833" spans="5:5">
      <c r="E833" s="3"/>
    </row>
    <row r="834" spans="5:5">
      <c r="E834" s="3"/>
    </row>
    <row r="835" spans="5:5">
      <c r="E835" s="3"/>
    </row>
    <row r="836" spans="5:5">
      <c r="E836" s="3"/>
    </row>
    <row r="837" spans="5:5">
      <c r="E837" s="3"/>
    </row>
    <row r="838" spans="5:5">
      <c r="E838" s="3"/>
    </row>
    <row r="839" spans="5:5">
      <c r="E839" s="3"/>
    </row>
    <row r="840" spans="5:5">
      <c r="E840" s="3"/>
    </row>
    <row r="841" spans="5:5">
      <c r="E841" s="3"/>
    </row>
    <row r="842" spans="5:5">
      <c r="E842" s="3"/>
    </row>
    <row r="843" spans="5:5">
      <c r="E843" s="3"/>
    </row>
    <row r="844" spans="5:5">
      <c r="E844" s="3"/>
    </row>
    <row r="845" spans="5:5">
      <c r="E845" s="3"/>
    </row>
    <row r="846" spans="5:5">
      <c r="E846" s="3"/>
    </row>
    <row r="847" spans="5:5">
      <c r="E847" s="3"/>
    </row>
    <row r="848" spans="5:5">
      <c r="E848" s="3"/>
    </row>
    <row r="849" spans="5:5">
      <c r="E849" s="3"/>
    </row>
    <row r="850" spans="5:5">
      <c r="E850" s="3"/>
    </row>
    <row r="851" spans="5:5">
      <c r="E851" s="3"/>
    </row>
    <row r="852" spans="5:5">
      <c r="E852" s="3"/>
    </row>
    <row r="853" spans="5:5">
      <c r="E853" s="3"/>
    </row>
    <row r="854" spans="5:5">
      <c r="E854" s="3"/>
    </row>
    <row r="855" spans="5:5">
      <c r="E855" s="3"/>
    </row>
    <row r="856" spans="5:5">
      <c r="E856" s="3"/>
    </row>
    <row r="857" spans="5:5">
      <c r="E857" s="3"/>
    </row>
    <row r="858" spans="5:5">
      <c r="E858" s="3"/>
    </row>
    <row r="859" spans="5:5">
      <c r="E859" s="3"/>
    </row>
    <row r="860" spans="5:5">
      <c r="E860" s="3"/>
    </row>
    <row r="861" spans="5:5">
      <c r="E861" s="3"/>
    </row>
    <row r="862" spans="5:5">
      <c r="E862" s="3"/>
    </row>
    <row r="863" spans="5:5">
      <c r="E863" s="3"/>
    </row>
    <row r="864" spans="5:5">
      <c r="E864" s="3"/>
    </row>
    <row r="865" spans="5:5">
      <c r="E865" s="3"/>
    </row>
    <row r="866" spans="5:5">
      <c r="E866" s="3"/>
    </row>
    <row r="867" spans="5:5">
      <c r="E867" s="3"/>
    </row>
    <row r="868" spans="5:5">
      <c r="E868" s="3"/>
    </row>
    <row r="869" spans="5:5">
      <c r="E869" s="3"/>
    </row>
    <row r="870" spans="5:5">
      <c r="E870" s="3"/>
    </row>
    <row r="871" spans="5:5">
      <c r="E871" s="3"/>
    </row>
    <row r="872" spans="5:5">
      <c r="E872" s="3"/>
    </row>
    <row r="873" spans="5:5">
      <c r="E873" s="3"/>
    </row>
    <row r="874" spans="5:5">
      <c r="E874" s="3"/>
    </row>
    <row r="875" spans="5:5">
      <c r="E875" s="3"/>
    </row>
    <row r="876" spans="5:5">
      <c r="E876" s="3"/>
    </row>
    <row r="877" spans="5:5">
      <c r="E877" s="3"/>
    </row>
    <row r="878" spans="5:5">
      <c r="E878" s="3"/>
    </row>
    <row r="879" spans="5:5">
      <c r="E879" s="3"/>
    </row>
    <row r="880" spans="5:5">
      <c r="E880" s="3"/>
    </row>
    <row r="881" spans="5:5">
      <c r="E881" s="3"/>
    </row>
    <row r="882" spans="5:5">
      <c r="E882" s="3"/>
    </row>
    <row r="883" spans="5:5">
      <c r="E883" s="3"/>
    </row>
    <row r="884" spans="5:5">
      <c r="E884" s="3"/>
    </row>
    <row r="885" spans="5:5">
      <c r="E885" s="3"/>
    </row>
    <row r="886" spans="5:5">
      <c r="E886" s="3"/>
    </row>
    <row r="887" spans="5:5">
      <c r="E887" s="3"/>
    </row>
    <row r="888" spans="5:5">
      <c r="E888" s="3"/>
    </row>
    <row r="889" spans="5:5">
      <c r="E889" s="3"/>
    </row>
    <row r="890" spans="5:5">
      <c r="E890" s="3"/>
    </row>
    <row r="891" spans="5:5">
      <c r="E891" s="3"/>
    </row>
    <row r="892" spans="5:5">
      <c r="E892" s="3"/>
    </row>
    <row r="893" spans="5:5">
      <c r="E893" s="3"/>
    </row>
    <row r="894" spans="5:5">
      <c r="E894" s="3"/>
    </row>
    <row r="895" spans="5:5">
      <c r="E895" s="3"/>
    </row>
    <row r="896" spans="5:5">
      <c r="E896" s="3"/>
    </row>
    <row r="897" spans="5:5">
      <c r="E897" s="3"/>
    </row>
    <row r="898" spans="5:5">
      <c r="E898" s="3"/>
    </row>
    <row r="899" spans="5:5">
      <c r="E899" s="3"/>
    </row>
    <row r="900" spans="5:5">
      <c r="E900" s="3"/>
    </row>
    <row r="901" spans="5:5">
      <c r="E901" s="3"/>
    </row>
    <row r="902" spans="5:5">
      <c r="E902" s="3"/>
    </row>
    <row r="903" spans="5:5">
      <c r="E903" s="3"/>
    </row>
    <row r="904" spans="5:5">
      <c r="E904" s="3"/>
    </row>
    <row r="905" spans="5:5">
      <c r="E905" s="3"/>
    </row>
    <row r="906" spans="5:5">
      <c r="E906" s="3"/>
    </row>
    <row r="907" spans="5:5">
      <c r="E907" s="3"/>
    </row>
    <row r="908" spans="5:5">
      <c r="E908" s="3"/>
    </row>
    <row r="909" spans="5:5">
      <c r="E909" s="3"/>
    </row>
    <row r="910" spans="5:5">
      <c r="E910" s="3"/>
    </row>
    <row r="911" spans="5:5">
      <c r="E911" s="3"/>
    </row>
    <row r="912" spans="5:5">
      <c r="E912" s="3"/>
    </row>
    <row r="913" spans="5:5">
      <c r="E913" s="3"/>
    </row>
    <row r="914" spans="5:5">
      <c r="E914" s="3"/>
    </row>
    <row r="915" spans="5:5">
      <c r="E915" s="3"/>
    </row>
    <row r="916" spans="5:5">
      <c r="E916" s="3"/>
    </row>
    <row r="917" spans="5:5">
      <c r="E917" s="3"/>
    </row>
    <row r="918" spans="5:5">
      <c r="E918" s="3"/>
    </row>
    <row r="919" spans="5:5">
      <c r="E919" s="3"/>
    </row>
    <row r="920" spans="5:5">
      <c r="E920" s="3"/>
    </row>
    <row r="921" spans="5:5">
      <c r="E921" s="3"/>
    </row>
    <row r="922" spans="5:5">
      <c r="E922" s="3"/>
    </row>
    <row r="923" spans="5:5">
      <c r="E923" s="3"/>
    </row>
    <row r="924" spans="5:5">
      <c r="E924" s="3"/>
    </row>
    <row r="925" spans="5:5">
      <c r="E925" s="3"/>
    </row>
    <row r="926" spans="5:5">
      <c r="E926" s="3"/>
    </row>
    <row r="927" spans="5:5">
      <c r="E927" s="3"/>
    </row>
    <row r="928" spans="5:5">
      <c r="E928" s="3"/>
    </row>
    <row r="929" spans="5:5">
      <c r="E929" s="3"/>
    </row>
    <row r="930" spans="5:5">
      <c r="E930" s="3"/>
    </row>
    <row r="931" spans="5:5">
      <c r="E931" s="3"/>
    </row>
    <row r="932" spans="5:5">
      <c r="E932" s="3"/>
    </row>
    <row r="933" spans="5:5">
      <c r="E933" s="3"/>
    </row>
    <row r="934" spans="5:5">
      <c r="E934" s="3"/>
    </row>
    <row r="935" spans="5:5">
      <c r="E935" s="3"/>
    </row>
    <row r="936" spans="5:5">
      <c r="E936" s="3"/>
    </row>
    <row r="937" spans="5:5">
      <c r="E937" s="3"/>
    </row>
    <row r="938" spans="5:5">
      <c r="E938" s="3"/>
    </row>
    <row r="939" spans="5:5">
      <c r="E939" s="3"/>
    </row>
    <row r="940" spans="5:5">
      <c r="E940" s="3"/>
    </row>
    <row r="941" spans="5:5">
      <c r="E941" s="3"/>
    </row>
    <row r="942" spans="5:5">
      <c r="E942" s="3"/>
    </row>
    <row r="943" spans="5:5">
      <c r="E943" s="3"/>
    </row>
    <row r="944" spans="5:5">
      <c r="E944" s="3"/>
    </row>
    <row r="945" spans="5:5">
      <c r="E945" s="3"/>
    </row>
    <row r="946" spans="5:5">
      <c r="E946" s="3"/>
    </row>
    <row r="947" spans="5:5">
      <c r="E947" s="3"/>
    </row>
    <row r="948" spans="5:5">
      <c r="E948" s="3"/>
    </row>
    <row r="949" spans="5:5">
      <c r="E949" s="3"/>
    </row>
    <row r="950" spans="5:5">
      <c r="E950" s="3"/>
    </row>
    <row r="951" spans="5:5">
      <c r="E951" s="3"/>
    </row>
    <row r="952" spans="5:5">
      <c r="E952" s="3"/>
    </row>
    <row r="953" spans="5:5">
      <c r="E953" s="3"/>
    </row>
    <row r="954" spans="5:5">
      <c r="E954" s="3"/>
    </row>
    <row r="955" spans="5:5">
      <c r="E955" s="3"/>
    </row>
    <row r="956" spans="5:5">
      <c r="E956" s="3"/>
    </row>
    <row r="957" spans="5:5">
      <c r="E957" s="3"/>
    </row>
    <row r="958" spans="5:5">
      <c r="E958" s="3"/>
    </row>
    <row r="959" spans="5:5">
      <c r="E959" s="3"/>
    </row>
    <row r="960" spans="5:5">
      <c r="E960" s="3"/>
    </row>
    <row r="961" spans="5:5">
      <c r="E961" s="3"/>
    </row>
    <row r="962" spans="5:5">
      <c r="E962" s="3"/>
    </row>
    <row r="963" spans="5:5">
      <c r="E963" s="3"/>
    </row>
    <row r="964" spans="5:5">
      <c r="E964" s="3"/>
    </row>
    <row r="965" spans="5:5">
      <c r="E965" s="3"/>
    </row>
    <row r="966" spans="5:5">
      <c r="E966" s="3"/>
    </row>
    <row r="967" spans="5:5">
      <c r="E967" s="3"/>
    </row>
    <row r="968" spans="5:5">
      <c r="E968" s="3"/>
    </row>
    <row r="969" spans="5:5">
      <c r="E969" s="3"/>
    </row>
    <row r="970" spans="5:5">
      <c r="E970" s="3"/>
    </row>
    <row r="971" spans="5:5">
      <c r="E971" s="3"/>
    </row>
    <row r="972" spans="5:5">
      <c r="E972" s="3"/>
    </row>
    <row r="973" spans="5:5">
      <c r="E973" s="3"/>
    </row>
    <row r="974" spans="5:5">
      <c r="E974" s="3"/>
    </row>
    <row r="975" spans="5:5">
      <c r="E975" s="3"/>
    </row>
    <row r="976" spans="5:5">
      <c r="E976" s="3"/>
    </row>
    <row r="977" spans="5:5">
      <c r="E977" s="3"/>
    </row>
    <row r="978" spans="5:5">
      <c r="E978" s="3"/>
    </row>
    <row r="979" spans="5:5">
      <c r="E979" s="3"/>
    </row>
    <row r="980" spans="5:5">
      <c r="E980" s="3"/>
    </row>
    <row r="981" spans="5:5">
      <c r="E981" s="3"/>
    </row>
    <row r="982" spans="5:5">
      <c r="E982" s="3"/>
    </row>
    <row r="983" spans="5:5">
      <c r="E983" s="3"/>
    </row>
    <row r="984" spans="5:5">
      <c r="E984" s="3"/>
    </row>
    <row r="985" spans="5:5">
      <c r="E985" s="3"/>
    </row>
    <row r="986" spans="5:5">
      <c r="E986" s="3"/>
    </row>
    <row r="987" spans="5:5">
      <c r="E987" s="3"/>
    </row>
    <row r="988" spans="5:5">
      <c r="E988" s="3"/>
    </row>
    <row r="989" spans="5:5">
      <c r="E989" s="3"/>
    </row>
    <row r="990" spans="5:5">
      <c r="E990" s="3"/>
    </row>
    <row r="991" spans="5:5">
      <c r="E991" s="3"/>
    </row>
    <row r="992" spans="5:5">
      <c r="E992" s="3"/>
    </row>
    <row r="993" spans="5:5">
      <c r="E993" s="3"/>
    </row>
    <row r="994" spans="5:5">
      <c r="E994" s="3"/>
    </row>
    <row r="995" spans="5:5">
      <c r="E995" s="3"/>
    </row>
    <row r="996" spans="5:5">
      <c r="E996" s="3"/>
    </row>
    <row r="997" spans="5:5">
      <c r="E997" s="3"/>
    </row>
    <row r="998" spans="5:5">
      <c r="E998" s="3"/>
    </row>
    <row r="999" spans="5:5">
      <c r="E999" s="3"/>
    </row>
    <row r="1000" spans="5:5">
      <c r="E1000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8F08C60B7C5458D9CBFC302C2BDA2" ma:contentTypeVersion="11" ma:contentTypeDescription="Create a new document." ma:contentTypeScope="" ma:versionID="8c8b5f858d493fd9c9b3c0896673ff36">
  <xsd:schema xmlns:xsd="http://www.w3.org/2001/XMLSchema" xmlns:xs="http://www.w3.org/2001/XMLSchema" xmlns:p="http://schemas.microsoft.com/office/2006/metadata/properties" xmlns:ns2="f0d41ed4-a53d-4502-b54a-52a6b5850a9c" xmlns:ns3="a26b630c-02f5-451b-9f6e-2ef441d8b214" targetNamespace="http://schemas.microsoft.com/office/2006/metadata/properties" ma:root="true" ma:fieldsID="f6317b99b084da3e1b400839f24e44d7" ns2:_="" ns3:_="">
    <xsd:import namespace="f0d41ed4-a53d-4502-b54a-52a6b5850a9c"/>
    <xsd:import namespace="a26b630c-02f5-451b-9f6e-2ef441d8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41ed4-a53d-4502-b54a-52a6b5850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23409ff-e24a-461c-a52a-addf0d385b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b630c-02f5-451b-9f6e-2ef441d8b2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9922d2-ba93-412b-8cf8-cc38612eb136}" ma:internalName="TaxCatchAll" ma:showField="CatchAllData" ma:web="a26b630c-02f5-451b-9f6e-2ef441d8b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d41ed4-a53d-4502-b54a-52a6b5850a9c">
      <Terms xmlns="http://schemas.microsoft.com/office/infopath/2007/PartnerControls"/>
    </lcf76f155ced4ddcb4097134ff3c332f>
    <TaxCatchAll xmlns="a26b630c-02f5-451b-9f6e-2ef441d8b214" xsi:nil="true"/>
  </documentManagement>
</p:properties>
</file>

<file path=customXml/itemProps1.xml><?xml version="1.0" encoding="utf-8"?>
<ds:datastoreItem xmlns:ds="http://schemas.openxmlformats.org/officeDocument/2006/customXml" ds:itemID="{7CBF5F37-9B06-457D-AED5-A271F3C1D6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F0081B-7058-4082-A07E-FF2789B90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d41ed4-a53d-4502-b54a-52a6b5850a9c"/>
    <ds:schemaRef ds:uri="a26b630c-02f5-451b-9f6e-2ef441d8b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020A79-8404-419E-82EE-768C33213DA7}">
  <ds:schemaRefs>
    <ds:schemaRef ds:uri="http://schemas.microsoft.com/office/2006/metadata/properties"/>
    <ds:schemaRef ds:uri="http://schemas.microsoft.com/office/infopath/2007/PartnerControls"/>
    <ds:schemaRef ds:uri="f0d41ed4-a53d-4502-b54a-52a6b5850a9c"/>
    <ds:schemaRef ds:uri="a26b630c-02f5-451b-9f6e-2ef441d8b2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 PC</cp:lastModifiedBy>
  <cp:revision/>
  <dcterms:created xsi:type="dcterms:W3CDTF">2026-04-19T15:46:34Z</dcterms:created>
  <dcterms:modified xsi:type="dcterms:W3CDTF">2026-04-24T21:14:14Z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0x01010001B8F08C60B7C5458D9CBFC302C2BDA2</vt:lpwstr>
  </property>
  <property fmtid="{D5CDD505-2E9C-101B-9397-08002B2CF9AE}" pid="3" name="MediaServiceImageTags">
    <vt:lpwstr/>
  </property>
</Properties>
</file>